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A39249A-BE38-4ED7-B17F-5D6BEF5EEF8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ursos" sheetId="2" r:id="rId1"/>
    <sheet name="Prerequisitos" sheetId="3" r:id="rId2"/>
    <sheet name="RequisitosGrado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4" l="1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<sst xmlns="http://schemas.openxmlformats.org/spreadsheetml/2006/main" count="477" uniqueCount="199">
  <si>
    <t>CodigoCurso</t>
  </si>
  <si>
    <t>NombreCurso</t>
  </si>
  <si>
    <t>Creditos</t>
  </si>
  <si>
    <t>TipoCurso</t>
  </si>
  <si>
    <t>CicloPlan</t>
  </si>
  <si>
    <t>BEF01</t>
  </si>
  <si>
    <t>ETICA Y FILOSOFIA POLITICA</t>
  </si>
  <si>
    <t>Obligatorio</t>
  </si>
  <si>
    <t>BMA01</t>
  </si>
  <si>
    <t>CALCULO DIFERENCIAL</t>
  </si>
  <si>
    <t>BQU01</t>
  </si>
  <si>
    <t>QUIMICA I</t>
  </si>
  <si>
    <t>BRC01</t>
  </si>
  <si>
    <t>REDACCION Y COMUNICACION</t>
  </si>
  <si>
    <t>FB101</t>
  </si>
  <si>
    <t>GEOMETRIA ANALITICA</t>
  </si>
  <si>
    <t>GE101</t>
  </si>
  <si>
    <t>INTRODUCCION A LA INGENIERIA INDUSTRIAL</t>
  </si>
  <si>
    <t>TE101</t>
  </si>
  <si>
    <t>DIBUJO DE INGENIERIA</t>
  </si>
  <si>
    <t>BIC01</t>
  </si>
  <si>
    <t>INTRODUCCION A LA COMPUTACION</t>
  </si>
  <si>
    <t>BMA02</t>
  </si>
  <si>
    <t>CALCULO INTEGRAL</t>
  </si>
  <si>
    <t>BMA03</t>
  </si>
  <si>
    <t>ALGEBRA LINEAL</t>
  </si>
  <si>
    <t>BRN01</t>
  </si>
  <si>
    <t>REALIDAD NACIONAL, CONSTITUCION Y DERECHOS HUMANOS</t>
  </si>
  <si>
    <t>FB202</t>
  </si>
  <si>
    <t>QUIMICA II</t>
  </si>
  <si>
    <t>HU102</t>
  </si>
  <si>
    <t>DESARROLLO PERSONAL</t>
  </si>
  <si>
    <t>SI204</t>
  </si>
  <si>
    <t>TEORIA GENERAL DE SISTEMAS</t>
  </si>
  <si>
    <t>BFI01</t>
  </si>
  <si>
    <t>FISICA I</t>
  </si>
  <si>
    <t>FB301</t>
  </si>
  <si>
    <t>MATEMATICA DISCRETA</t>
  </si>
  <si>
    <t>FB303</t>
  </si>
  <si>
    <t>CALCULO MULTIVARIABLE</t>
  </si>
  <si>
    <t>HU301</t>
  </si>
  <si>
    <t>METODOLOGIA DE LA INVESTIGACION</t>
  </si>
  <si>
    <t>TE302</t>
  </si>
  <si>
    <t>DISEÑO ASISTIDO POR COMPUTADOR</t>
  </si>
  <si>
    <t>TE401</t>
  </si>
  <si>
    <t>TERMODINAMICA</t>
  </si>
  <si>
    <t>BEG01</t>
  </si>
  <si>
    <t>ECONOMIA GENERAL</t>
  </si>
  <si>
    <t>FB305</t>
  </si>
  <si>
    <t>ESTADISTICA Y PROBABILIDADES</t>
  </si>
  <si>
    <t>FB401</t>
  </si>
  <si>
    <t>FISICA II</t>
  </si>
  <si>
    <t>FB403</t>
  </si>
  <si>
    <t>ECUACIONES DIFERENCIALES</t>
  </si>
  <si>
    <t>SI401</t>
  </si>
  <si>
    <t>LENGUAJE DE PROGRAMACION</t>
  </si>
  <si>
    <t>TE301</t>
  </si>
  <si>
    <t>FISICO QUIMICA Y OPERACIONES UNITARIAS</t>
  </si>
  <si>
    <t>GE502</t>
  </si>
  <si>
    <t>INGENIERIA DEL TRABAJO I</t>
  </si>
  <si>
    <t>GE602</t>
  </si>
  <si>
    <t>CONTABILIDAD FINANCIERA</t>
  </si>
  <si>
    <t>HU201</t>
  </si>
  <si>
    <t>SOCIOLOGIA</t>
  </si>
  <si>
    <t>SI501</t>
  </si>
  <si>
    <t>INVESTIGACION DE OPERACIONES I</t>
  </si>
  <si>
    <t>TE501</t>
  </si>
  <si>
    <t>ELECTRICIDAD Y ELECTRONICA INDUSTRIAL</t>
  </si>
  <si>
    <t>TE503</t>
  </si>
  <si>
    <t>PROCESOS INDUSTRIALES I</t>
  </si>
  <si>
    <t>TE601</t>
  </si>
  <si>
    <t>INGENIERIA DE MATERIALES</t>
  </si>
  <si>
    <t>BIE01</t>
  </si>
  <si>
    <t>IDIOMA EXTRANJERO O LENGUA NATIVA - NIVEL INTERMEDIO</t>
  </si>
  <si>
    <t>GE603</t>
  </si>
  <si>
    <t>INGENIERIA DEL TRABAJO II</t>
  </si>
  <si>
    <t>GE604</t>
  </si>
  <si>
    <t>ADMINISTRACION Y ORGANIZACION</t>
  </si>
  <si>
    <t>SI601</t>
  </si>
  <si>
    <t>INVESTIGACION DE OPERACIONES II</t>
  </si>
  <si>
    <t>TE602</t>
  </si>
  <si>
    <t>PROCESOS INDUSTRIALES II</t>
  </si>
  <si>
    <t>TE603</t>
  </si>
  <si>
    <t>CONTROL ESTADISTICO DE PROCESOS</t>
  </si>
  <si>
    <t>TE604</t>
  </si>
  <si>
    <t>MAQUINARIA E INSTRUMENTACION INDUSTRIAL</t>
  </si>
  <si>
    <t>GE701</t>
  </si>
  <si>
    <t>LOGISTICA EMPRESARIAL</t>
  </si>
  <si>
    <t>GE702</t>
  </si>
  <si>
    <t>INGENIERIA ECONOMICA</t>
  </si>
  <si>
    <t>GE704</t>
  </si>
  <si>
    <t>CONTABILIDAD DE COSTOS Y PRESUPUESTOS</t>
  </si>
  <si>
    <t>SI503</t>
  </si>
  <si>
    <t>INGENIERIA DE PROCESOS</t>
  </si>
  <si>
    <t>SI701</t>
  </si>
  <si>
    <t>MODELADO SISTEMICO Y SIMULACION</t>
  </si>
  <si>
    <t>TE701</t>
  </si>
  <si>
    <t>ANALISIS DE PROCESOS DE MANUFACTURA</t>
  </si>
  <si>
    <t>GE802</t>
  </si>
  <si>
    <t>GESTION DE LA CADENA DE SUMINISTRO</t>
  </si>
  <si>
    <t>GE805</t>
  </si>
  <si>
    <t>MERCADOTECNIA</t>
  </si>
  <si>
    <t>TE801</t>
  </si>
  <si>
    <t>AUTOMATIZACION Y CONTROL DE PROCESOS</t>
  </si>
  <si>
    <t>TE802</t>
  </si>
  <si>
    <t>INGENIERIA DEL PRODUCTO</t>
  </si>
  <si>
    <t>TE803</t>
  </si>
  <si>
    <t>SISTEMAS INTEGRADOS DE CALIDAD</t>
  </si>
  <si>
    <t>GE003</t>
  </si>
  <si>
    <t>TALLER DE PROYECTO DE INVESTIGACION</t>
  </si>
  <si>
    <t>GE901</t>
  </si>
  <si>
    <t>INNOVACION Y EMPRENDIMIENTO DE NEGOCIOS</t>
  </si>
  <si>
    <t>GE905</t>
  </si>
  <si>
    <t>PLANEAMIENTO Y CONTROL DE OPERACIONES</t>
  </si>
  <si>
    <t>GE906</t>
  </si>
  <si>
    <t>GESTION FINANCIERA</t>
  </si>
  <si>
    <t>TE901</t>
  </si>
  <si>
    <t>SEGURIDAD Y SALUD OCUPACIONAL</t>
  </si>
  <si>
    <t>BAE01</t>
  </si>
  <si>
    <t>ACTIVIDADES EXTRACURRICULARES</t>
  </si>
  <si>
    <t>GE004</t>
  </si>
  <si>
    <t>TALLER DE INVESTIGACION</t>
  </si>
  <si>
    <t>GE801</t>
  </si>
  <si>
    <t>PLANEAMIENTO Y GESTION ESTRATEGICA</t>
  </si>
  <si>
    <t>GE902</t>
  </si>
  <si>
    <t>DISEÑO Y EVALUACION DE PROYECTOS</t>
  </si>
  <si>
    <t>GE903</t>
  </si>
  <si>
    <t>GESTION DEL TALENTO HUMANO</t>
  </si>
  <si>
    <t>HU400</t>
  </si>
  <si>
    <t>PRACTICAS PRE-PROFESIONALES II</t>
  </si>
  <si>
    <t>GE113</t>
  </si>
  <si>
    <t>TALLER DE CONSULTORIA DE EMPRESAS</t>
  </si>
  <si>
    <t>Electivo</t>
  </si>
  <si>
    <t>GE114</t>
  </si>
  <si>
    <t>TEORIA DE PRECIOS</t>
  </si>
  <si>
    <t>GE115</t>
  </si>
  <si>
    <t>DESARROLLO ECONOMICO</t>
  </si>
  <si>
    <t>GE116</t>
  </si>
  <si>
    <t>GESTION DE PROYECTOS</t>
  </si>
  <si>
    <t>GE117</t>
  </si>
  <si>
    <t>JUEGOS DE NEGOCIO</t>
  </si>
  <si>
    <t>HU111</t>
  </si>
  <si>
    <t>LEGISLACION EMPRESARIAL Y TRIBUTARIA</t>
  </si>
  <si>
    <t>HU112</t>
  </si>
  <si>
    <t>COMPORTAMIENTO ORGANIZACIONAL</t>
  </si>
  <si>
    <t>HU115</t>
  </si>
  <si>
    <t>REALIDAD INTERNACIONAL</t>
  </si>
  <si>
    <t>SI111</t>
  </si>
  <si>
    <t>TEORIA DE DECISIONES</t>
  </si>
  <si>
    <t>SI112</t>
  </si>
  <si>
    <t>ANALITICA DEL NEGOCIO</t>
  </si>
  <si>
    <t>SI113</t>
  </si>
  <si>
    <t>SISTEMAS DE INFORMACION GERENCIAL</t>
  </si>
  <si>
    <t>SI114</t>
  </si>
  <si>
    <t>BASE DE DATOS</t>
  </si>
  <si>
    <t>SI115</t>
  </si>
  <si>
    <t>GESTION DE COMUNIDADES Y REDES SOCIALES</t>
  </si>
  <si>
    <t>SI120</t>
  </si>
  <si>
    <t>GESTION DE LAS TECNOLOGIAS DE LA INFORMACION</t>
  </si>
  <si>
    <t>TE111</t>
  </si>
  <si>
    <t>INNOVACION Y GESTION TECNOLOGICA</t>
  </si>
  <si>
    <t>GE121</t>
  </si>
  <si>
    <t>DISEÑO Y DISPOSICION DE PLANTAS</t>
  </si>
  <si>
    <t>Complementario</t>
  </si>
  <si>
    <t>GE122</t>
  </si>
  <si>
    <t>SISTEMA DE COSTOS</t>
  </si>
  <si>
    <t>GE123</t>
  </si>
  <si>
    <t>PLANEAMIENTO Y GESTION DE NEGOCIOS</t>
  </si>
  <si>
    <t>GE124</t>
  </si>
  <si>
    <t>COMERCIO INTERNACIONAL</t>
  </si>
  <si>
    <t>GE126</t>
  </si>
  <si>
    <t>INGENIERIA DEL SERVICIO</t>
  </si>
  <si>
    <t>GE128</t>
  </si>
  <si>
    <t>DIAGNOSTICO DE EMPRESAS</t>
  </si>
  <si>
    <t>SI124</t>
  </si>
  <si>
    <t>COMERCIO ELECTRONICO</t>
  </si>
  <si>
    <t>SI125</t>
  </si>
  <si>
    <t>DINAMICA DE SISTEMAS INDUSTRIALES</t>
  </si>
  <si>
    <t>TE121</t>
  </si>
  <si>
    <t>ERGONOMIA</t>
  </si>
  <si>
    <t>TE122</t>
  </si>
  <si>
    <t>PROCESOS AGROINDUSTRIALES</t>
  </si>
  <si>
    <t>TE123</t>
  </si>
  <si>
    <t>INDUSTRIA Y MEDIO AMBIENTE</t>
  </si>
  <si>
    <t>TE124</t>
  </si>
  <si>
    <t>GESTION DE LA ENERGIA</t>
  </si>
  <si>
    <t>TE125</t>
  </si>
  <si>
    <t>LEAN MANUFACTURING</t>
  </si>
  <si>
    <t>TE126</t>
  </si>
  <si>
    <t>GESTION DEL MANTENIMIENTO</t>
  </si>
  <si>
    <t>TE127</t>
  </si>
  <si>
    <t>ROBOTICA INDUSTRIAL</t>
  </si>
  <si>
    <t>CodigoPrerequisito</t>
  </si>
  <si>
    <t>NombrePrerequisito</t>
  </si>
  <si>
    <t>CreditosMinimos</t>
  </si>
  <si>
    <t>OtrasActividades</t>
  </si>
  <si>
    <t>TotalCarrera</t>
  </si>
  <si>
    <t>Observación</t>
  </si>
  <si>
    <t>Acá entran las prácticas, actividades extracurricualres y el idioma 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</si>
</sst>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3"/>
  <sheetViews>
    <sheetView tabSelected="1" zoomScaleNormal="100" workbookViewId="0">
      <pane ySplit="1" topLeftCell="A2" activePane="bottomLeft" state="frozen"/>
      <selection pane="bottomLeft" activeCell="I7" sqref="I7"/>
    </sheetView>
  </sheetViews>
  <sheetFormatPr baseColWidth="10" defaultColWidth="8.7109375" defaultRowHeight="15" x14ac:dyDescent="0.25"/>
  <cols>
    <col min="1" max="1" width="12" customWidth="1"/>
    <col min="2" max="2" width="48" customWidth="1"/>
    <col min="3" max="3" width="9" customWidth="1"/>
    <col min="4" max="4" width="15" customWidth="1"/>
    <col min="5" max="5" width="10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</v>
      </c>
      <c r="D2" s="2" t="s">
        <v>7</v>
      </c>
      <c r="E2" s="2">
        <v>1</v>
      </c>
    </row>
    <row r="3" spans="1:5" x14ac:dyDescent="0.25">
      <c r="A3" s="2" t="s">
        <v>8</v>
      </c>
      <c r="B3" s="2" t="s">
        <v>9</v>
      </c>
      <c r="C3" s="2">
        <v>5</v>
      </c>
      <c r="D3" s="2" t="s">
        <v>7</v>
      </c>
      <c r="E3" s="2">
        <v>1</v>
      </c>
    </row>
    <row r="4" spans="1:5" x14ac:dyDescent="0.25">
      <c r="A4" s="2" t="s">
        <v>10</v>
      </c>
      <c r="B4" s="2" t="s">
        <v>11</v>
      </c>
      <c r="C4" s="2">
        <v>5</v>
      </c>
      <c r="D4" s="2" t="s">
        <v>7</v>
      </c>
      <c r="E4" s="2">
        <v>1</v>
      </c>
    </row>
    <row r="5" spans="1:5" x14ac:dyDescent="0.25">
      <c r="A5" s="2" t="s">
        <v>12</v>
      </c>
      <c r="B5" s="2" t="s">
        <v>13</v>
      </c>
      <c r="C5" s="2">
        <v>2</v>
      </c>
      <c r="D5" s="2" t="s">
        <v>7</v>
      </c>
      <c r="E5" s="2">
        <v>1</v>
      </c>
    </row>
    <row r="6" spans="1:5" x14ac:dyDescent="0.25">
      <c r="A6" s="2" t="s">
        <v>14</v>
      </c>
      <c r="B6" s="2" t="s">
        <v>15</v>
      </c>
      <c r="C6" s="2">
        <v>3</v>
      </c>
      <c r="D6" s="2" t="s">
        <v>7</v>
      </c>
      <c r="E6" s="2">
        <v>1</v>
      </c>
    </row>
    <row r="7" spans="1:5" x14ac:dyDescent="0.25">
      <c r="A7" s="2" t="s">
        <v>16</v>
      </c>
      <c r="B7" s="2" t="s">
        <v>17</v>
      </c>
      <c r="C7" s="2">
        <v>3</v>
      </c>
      <c r="D7" s="2" t="s">
        <v>7</v>
      </c>
      <c r="E7" s="2">
        <v>1</v>
      </c>
    </row>
    <row r="8" spans="1:5" x14ac:dyDescent="0.25">
      <c r="A8" s="2" t="s">
        <v>18</v>
      </c>
      <c r="B8" s="2" t="s">
        <v>19</v>
      </c>
      <c r="C8" s="2">
        <v>2</v>
      </c>
      <c r="D8" s="2" t="s">
        <v>7</v>
      </c>
      <c r="E8" s="2">
        <v>1</v>
      </c>
    </row>
    <row r="9" spans="1:5" x14ac:dyDescent="0.25">
      <c r="A9" s="2" t="s">
        <v>20</v>
      </c>
      <c r="B9" s="2" t="s">
        <v>21</v>
      </c>
      <c r="C9" s="2">
        <v>2</v>
      </c>
      <c r="D9" s="2" t="s">
        <v>7</v>
      </c>
      <c r="E9" s="2">
        <v>2</v>
      </c>
    </row>
    <row r="10" spans="1:5" x14ac:dyDescent="0.25">
      <c r="A10" s="2" t="s">
        <v>22</v>
      </c>
      <c r="B10" s="2" t="s">
        <v>23</v>
      </c>
      <c r="C10" s="2">
        <v>5</v>
      </c>
      <c r="D10" s="2" t="s">
        <v>7</v>
      </c>
      <c r="E10" s="2">
        <v>2</v>
      </c>
    </row>
    <row r="11" spans="1:5" x14ac:dyDescent="0.25">
      <c r="A11" s="2" t="s">
        <v>24</v>
      </c>
      <c r="B11" s="2" t="s">
        <v>25</v>
      </c>
      <c r="C11" s="2">
        <v>4</v>
      </c>
      <c r="D11" s="2" t="s">
        <v>7</v>
      </c>
      <c r="E11" s="2">
        <v>2</v>
      </c>
    </row>
    <row r="12" spans="1:5" x14ac:dyDescent="0.25">
      <c r="A12" s="2" t="s">
        <v>26</v>
      </c>
      <c r="B12" s="2" t="s">
        <v>27</v>
      </c>
      <c r="C12" s="2">
        <v>3</v>
      </c>
      <c r="D12" s="2" t="s">
        <v>7</v>
      </c>
      <c r="E12" s="2">
        <v>2</v>
      </c>
    </row>
    <row r="13" spans="1:5" x14ac:dyDescent="0.25">
      <c r="A13" s="2" t="s">
        <v>28</v>
      </c>
      <c r="B13" s="2" t="s">
        <v>29</v>
      </c>
      <c r="C13" s="2">
        <v>4</v>
      </c>
      <c r="D13" s="2" t="s">
        <v>7</v>
      </c>
      <c r="E13" s="2">
        <v>2</v>
      </c>
    </row>
    <row r="14" spans="1:5" x14ac:dyDescent="0.25">
      <c r="A14" s="2" t="s">
        <v>30</v>
      </c>
      <c r="B14" s="2" t="s">
        <v>31</v>
      </c>
      <c r="C14" s="2">
        <v>2</v>
      </c>
      <c r="D14" s="2" t="s">
        <v>7</v>
      </c>
      <c r="E14" s="2">
        <v>2</v>
      </c>
    </row>
    <row r="15" spans="1:5" x14ac:dyDescent="0.25">
      <c r="A15" s="2" t="s">
        <v>32</v>
      </c>
      <c r="B15" s="2" t="s">
        <v>33</v>
      </c>
      <c r="C15" s="2">
        <v>2</v>
      </c>
      <c r="D15" s="2" t="s">
        <v>7</v>
      </c>
      <c r="E15" s="2">
        <v>2</v>
      </c>
    </row>
    <row r="16" spans="1:5" x14ac:dyDescent="0.25">
      <c r="A16" s="2" t="s">
        <v>34</v>
      </c>
      <c r="B16" s="2" t="s">
        <v>35</v>
      </c>
      <c r="C16" s="2">
        <v>5</v>
      </c>
      <c r="D16" s="2" t="s">
        <v>7</v>
      </c>
      <c r="E16" s="2">
        <v>3</v>
      </c>
    </row>
    <row r="17" spans="1:5" x14ac:dyDescent="0.25">
      <c r="A17" s="2" t="s">
        <v>36</v>
      </c>
      <c r="B17" s="2" t="s">
        <v>37</v>
      </c>
      <c r="C17" s="2">
        <v>3</v>
      </c>
      <c r="D17" s="2" t="s">
        <v>7</v>
      </c>
      <c r="E17" s="2">
        <v>3</v>
      </c>
    </row>
    <row r="18" spans="1:5" x14ac:dyDescent="0.25">
      <c r="A18" s="2" t="s">
        <v>38</v>
      </c>
      <c r="B18" s="2" t="s">
        <v>39</v>
      </c>
      <c r="C18" s="2">
        <v>5</v>
      </c>
      <c r="D18" s="2" t="s">
        <v>7</v>
      </c>
      <c r="E18" s="2">
        <v>3</v>
      </c>
    </row>
    <row r="19" spans="1:5" x14ac:dyDescent="0.25">
      <c r="A19" s="2" t="s">
        <v>40</v>
      </c>
      <c r="B19" s="2" t="s">
        <v>41</v>
      </c>
      <c r="C19" s="2">
        <v>2</v>
      </c>
      <c r="D19" s="2" t="s">
        <v>7</v>
      </c>
      <c r="E19" s="2">
        <v>3</v>
      </c>
    </row>
    <row r="20" spans="1:5" x14ac:dyDescent="0.25">
      <c r="A20" s="2" t="s">
        <v>42</v>
      </c>
      <c r="B20" s="2" t="s">
        <v>43</v>
      </c>
      <c r="C20" s="2">
        <v>3</v>
      </c>
      <c r="D20" s="2" t="s">
        <v>7</v>
      </c>
      <c r="E20" s="2">
        <v>3</v>
      </c>
    </row>
    <row r="21" spans="1:5" x14ac:dyDescent="0.25">
      <c r="A21" s="2" t="s">
        <v>44</v>
      </c>
      <c r="B21" s="2" t="s">
        <v>45</v>
      </c>
      <c r="C21" s="2">
        <v>3</v>
      </c>
      <c r="D21" s="2" t="s">
        <v>7</v>
      </c>
      <c r="E21" s="2">
        <v>3</v>
      </c>
    </row>
    <row r="22" spans="1:5" x14ac:dyDescent="0.25">
      <c r="A22" s="2" t="s">
        <v>46</v>
      </c>
      <c r="B22" s="2" t="s">
        <v>47</v>
      </c>
      <c r="C22" s="2">
        <v>3</v>
      </c>
      <c r="D22" s="2" t="s">
        <v>7</v>
      </c>
      <c r="E22" s="2">
        <v>4</v>
      </c>
    </row>
    <row r="23" spans="1:5" x14ac:dyDescent="0.25">
      <c r="A23" s="2" t="s">
        <v>48</v>
      </c>
      <c r="B23" s="2" t="s">
        <v>49</v>
      </c>
      <c r="C23" s="2">
        <v>3</v>
      </c>
      <c r="D23" s="2" t="s">
        <v>7</v>
      </c>
      <c r="E23" s="2">
        <v>4</v>
      </c>
    </row>
    <row r="24" spans="1:5" x14ac:dyDescent="0.25">
      <c r="A24" s="2" t="s">
        <v>50</v>
      </c>
      <c r="B24" s="2" t="s">
        <v>51</v>
      </c>
      <c r="C24" s="2">
        <v>5</v>
      </c>
      <c r="D24" s="2" t="s">
        <v>7</v>
      </c>
      <c r="E24" s="2">
        <v>4</v>
      </c>
    </row>
    <row r="25" spans="1:5" x14ac:dyDescent="0.25">
      <c r="A25" s="2" t="s">
        <v>52</v>
      </c>
      <c r="B25" s="2" t="s">
        <v>53</v>
      </c>
      <c r="C25" s="2">
        <v>5</v>
      </c>
      <c r="D25" s="2" t="s">
        <v>7</v>
      </c>
      <c r="E25" s="2">
        <v>4</v>
      </c>
    </row>
    <row r="26" spans="1:5" x14ac:dyDescent="0.25">
      <c r="A26" s="2" t="s">
        <v>54</v>
      </c>
      <c r="B26" s="2" t="s">
        <v>55</v>
      </c>
      <c r="C26" s="2">
        <v>3</v>
      </c>
      <c r="D26" s="2" t="s">
        <v>7</v>
      </c>
      <c r="E26" s="2">
        <v>4</v>
      </c>
    </row>
    <row r="27" spans="1:5" x14ac:dyDescent="0.25">
      <c r="A27" s="2" t="s">
        <v>56</v>
      </c>
      <c r="B27" s="2" t="s">
        <v>57</v>
      </c>
      <c r="C27" s="2">
        <v>4</v>
      </c>
      <c r="D27" s="2" t="s">
        <v>7</v>
      </c>
      <c r="E27" s="2">
        <v>4</v>
      </c>
    </row>
    <row r="28" spans="1:5" x14ac:dyDescent="0.25">
      <c r="A28" s="2" t="s">
        <v>58</v>
      </c>
      <c r="B28" s="2" t="s">
        <v>59</v>
      </c>
      <c r="C28" s="2">
        <v>3</v>
      </c>
      <c r="D28" s="2" t="s">
        <v>7</v>
      </c>
      <c r="E28" s="2">
        <v>5</v>
      </c>
    </row>
    <row r="29" spans="1:5" x14ac:dyDescent="0.25">
      <c r="A29" s="2" t="s">
        <v>60</v>
      </c>
      <c r="B29" s="2" t="s">
        <v>61</v>
      </c>
      <c r="C29" s="2">
        <v>3</v>
      </c>
      <c r="D29" s="2" t="s">
        <v>7</v>
      </c>
      <c r="E29" s="2">
        <v>5</v>
      </c>
    </row>
    <row r="30" spans="1:5" x14ac:dyDescent="0.25">
      <c r="A30" s="2" t="s">
        <v>62</v>
      </c>
      <c r="B30" s="2" t="s">
        <v>63</v>
      </c>
      <c r="C30" s="2">
        <v>2</v>
      </c>
      <c r="D30" s="2" t="s">
        <v>7</v>
      </c>
      <c r="E30" s="2">
        <v>5</v>
      </c>
    </row>
    <row r="31" spans="1:5" x14ac:dyDescent="0.25">
      <c r="A31" s="2" t="s">
        <v>64</v>
      </c>
      <c r="B31" s="2" t="s">
        <v>65</v>
      </c>
      <c r="C31" s="2">
        <v>3</v>
      </c>
      <c r="D31" s="2" t="s">
        <v>7</v>
      </c>
      <c r="E31" s="2">
        <v>5</v>
      </c>
    </row>
    <row r="32" spans="1:5" x14ac:dyDescent="0.25">
      <c r="A32" s="2" t="s">
        <v>66</v>
      </c>
      <c r="B32" s="2" t="s">
        <v>67</v>
      </c>
      <c r="C32" s="2">
        <v>4</v>
      </c>
      <c r="D32" s="2" t="s">
        <v>7</v>
      </c>
      <c r="E32" s="2">
        <v>5</v>
      </c>
    </row>
    <row r="33" spans="1:5" x14ac:dyDescent="0.25">
      <c r="A33" s="2" t="s">
        <v>68</v>
      </c>
      <c r="B33" s="2" t="s">
        <v>69</v>
      </c>
      <c r="C33" s="2">
        <v>4</v>
      </c>
      <c r="D33" s="2" t="s">
        <v>7</v>
      </c>
      <c r="E33" s="2">
        <v>5</v>
      </c>
    </row>
    <row r="34" spans="1:5" x14ac:dyDescent="0.25">
      <c r="A34" s="2" t="s">
        <v>70</v>
      </c>
      <c r="B34" s="2" t="s">
        <v>71</v>
      </c>
      <c r="C34" s="2">
        <v>3</v>
      </c>
      <c r="D34" s="2" t="s">
        <v>7</v>
      </c>
      <c r="E34" s="2">
        <v>5</v>
      </c>
    </row>
    <row r="35" spans="1:5" x14ac:dyDescent="0.25">
      <c r="A35" s="2" t="s">
        <v>72</v>
      </c>
      <c r="B35" s="2" t="s">
        <v>73</v>
      </c>
      <c r="C35" s="2">
        <v>2</v>
      </c>
      <c r="D35" s="2" t="s">
        <v>7</v>
      </c>
      <c r="E35" s="2">
        <v>6</v>
      </c>
    </row>
    <row r="36" spans="1:5" x14ac:dyDescent="0.25">
      <c r="A36" s="2" t="s">
        <v>74</v>
      </c>
      <c r="B36" s="2" t="s">
        <v>75</v>
      </c>
      <c r="C36" s="2">
        <v>3</v>
      </c>
      <c r="D36" s="2" t="s">
        <v>7</v>
      </c>
      <c r="E36" s="2">
        <v>6</v>
      </c>
    </row>
    <row r="37" spans="1:5" x14ac:dyDescent="0.25">
      <c r="A37" s="2" t="s">
        <v>76</v>
      </c>
      <c r="B37" s="2" t="s">
        <v>77</v>
      </c>
      <c r="C37" s="2">
        <v>3</v>
      </c>
      <c r="D37" s="2" t="s">
        <v>7</v>
      </c>
      <c r="E37" s="2">
        <v>6</v>
      </c>
    </row>
    <row r="38" spans="1:5" x14ac:dyDescent="0.25">
      <c r="A38" s="2" t="s">
        <v>78</v>
      </c>
      <c r="B38" s="2" t="s">
        <v>79</v>
      </c>
      <c r="C38" s="2">
        <v>3</v>
      </c>
      <c r="D38" s="2" t="s">
        <v>7</v>
      </c>
      <c r="E38" s="2">
        <v>6</v>
      </c>
    </row>
    <row r="39" spans="1:5" x14ac:dyDescent="0.25">
      <c r="A39" s="2" t="s">
        <v>80</v>
      </c>
      <c r="B39" s="2" t="s">
        <v>81</v>
      </c>
      <c r="C39" s="2">
        <v>4</v>
      </c>
      <c r="D39" s="2" t="s">
        <v>7</v>
      </c>
      <c r="E39" s="2">
        <v>6</v>
      </c>
    </row>
    <row r="40" spans="1:5" x14ac:dyDescent="0.25">
      <c r="A40" s="2" t="s">
        <v>82</v>
      </c>
      <c r="B40" s="2" t="s">
        <v>83</v>
      </c>
      <c r="C40" s="2">
        <v>3</v>
      </c>
      <c r="D40" s="2" t="s">
        <v>7</v>
      </c>
      <c r="E40" s="2">
        <v>6</v>
      </c>
    </row>
    <row r="41" spans="1:5" x14ac:dyDescent="0.25">
      <c r="A41" s="2" t="s">
        <v>84</v>
      </c>
      <c r="B41" s="2" t="s">
        <v>85</v>
      </c>
      <c r="C41" s="2">
        <v>3</v>
      </c>
      <c r="D41" s="2" t="s">
        <v>7</v>
      </c>
      <c r="E41" s="2">
        <v>6</v>
      </c>
    </row>
    <row r="42" spans="1:5" x14ac:dyDescent="0.25">
      <c r="A42" s="2" t="s">
        <v>86</v>
      </c>
      <c r="B42" s="2" t="s">
        <v>87</v>
      </c>
      <c r="C42" s="2">
        <v>3</v>
      </c>
      <c r="D42" s="2" t="s">
        <v>7</v>
      </c>
      <c r="E42" s="2">
        <v>7</v>
      </c>
    </row>
    <row r="43" spans="1:5" x14ac:dyDescent="0.25">
      <c r="A43" s="2" t="s">
        <v>88</v>
      </c>
      <c r="B43" s="2" t="s">
        <v>89</v>
      </c>
      <c r="C43" s="2">
        <v>3</v>
      </c>
      <c r="D43" s="2" t="s">
        <v>7</v>
      </c>
      <c r="E43" s="2">
        <v>7</v>
      </c>
    </row>
    <row r="44" spans="1:5" x14ac:dyDescent="0.25">
      <c r="A44" s="2" t="s">
        <v>90</v>
      </c>
      <c r="B44" s="2" t="s">
        <v>91</v>
      </c>
      <c r="C44" s="2">
        <v>3</v>
      </c>
      <c r="D44" s="2" t="s">
        <v>7</v>
      </c>
      <c r="E44" s="2">
        <v>7</v>
      </c>
    </row>
    <row r="45" spans="1:5" x14ac:dyDescent="0.25">
      <c r="A45" s="2" t="s">
        <v>92</v>
      </c>
      <c r="B45" s="2" t="s">
        <v>93</v>
      </c>
      <c r="C45" s="2">
        <v>3</v>
      </c>
      <c r="D45" s="2" t="s">
        <v>7</v>
      </c>
      <c r="E45" s="2">
        <v>7</v>
      </c>
    </row>
    <row r="46" spans="1:5" x14ac:dyDescent="0.25">
      <c r="A46" s="2" t="s">
        <v>94</v>
      </c>
      <c r="B46" s="2" t="s">
        <v>95</v>
      </c>
      <c r="C46" s="2">
        <v>3</v>
      </c>
      <c r="D46" s="2" t="s">
        <v>7</v>
      </c>
      <c r="E46" s="2">
        <v>7</v>
      </c>
    </row>
    <row r="47" spans="1:5" x14ac:dyDescent="0.25">
      <c r="A47" s="2" t="s">
        <v>96</v>
      </c>
      <c r="B47" s="2" t="s">
        <v>97</v>
      </c>
      <c r="C47" s="2">
        <v>3</v>
      </c>
      <c r="D47" s="2" t="s">
        <v>7</v>
      </c>
      <c r="E47" s="2">
        <v>7</v>
      </c>
    </row>
    <row r="48" spans="1:5" x14ac:dyDescent="0.25">
      <c r="A48" s="2" t="s">
        <v>98</v>
      </c>
      <c r="B48" s="2" t="s">
        <v>99</v>
      </c>
      <c r="C48" s="2">
        <v>3</v>
      </c>
      <c r="D48" s="2" t="s">
        <v>7</v>
      </c>
      <c r="E48" s="2">
        <v>8</v>
      </c>
    </row>
    <row r="49" spans="1:5" x14ac:dyDescent="0.25">
      <c r="A49" s="2" t="s">
        <v>100</v>
      </c>
      <c r="B49" s="2" t="s">
        <v>101</v>
      </c>
      <c r="C49" s="2">
        <v>3</v>
      </c>
      <c r="D49" s="2" t="s">
        <v>7</v>
      </c>
      <c r="E49" s="2">
        <v>8</v>
      </c>
    </row>
    <row r="50" spans="1:5" x14ac:dyDescent="0.25">
      <c r="A50" s="2" t="s">
        <v>102</v>
      </c>
      <c r="B50" s="2" t="s">
        <v>103</v>
      </c>
      <c r="C50" s="2">
        <v>3</v>
      </c>
      <c r="D50" s="2" t="s">
        <v>7</v>
      </c>
      <c r="E50" s="2">
        <v>8</v>
      </c>
    </row>
    <row r="51" spans="1:5" x14ac:dyDescent="0.25">
      <c r="A51" s="2" t="s">
        <v>104</v>
      </c>
      <c r="B51" s="2" t="s">
        <v>105</v>
      </c>
      <c r="C51" s="2">
        <v>3</v>
      </c>
      <c r="D51" s="2" t="s">
        <v>7</v>
      </c>
      <c r="E51" s="2">
        <v>8</v>
      </c>
    </row>
    <row r="52" spans="1:5" x14ac:dyDescent="0.25">
      <c r="A52" s="2" t="s">
        <v>106</v>
      </c>
      <c r="B52" s="2" t="s">
        <v>107</v>
      </c>
      <c r="C52" s="2">
        <v>3</v>
      </c>
      <c r="D52" s="2" t="s">
        <v>7</v>
      </c>
      <c r="E52" s="2">
        <v>8</v>
      </c>
    </row>
    <row r="53" spans="1:5" x14ac:dyDescent="0.25">
      <c r="A53" s="2" t="s">
        <v>108</v>
      </c>
      <c r="B53" s="2" t="s">
        <v>109</v>
      </c>
      <c r="C53" s="2">
        <v>2</v>
      </c>
      <c r="D53" s="2" t="s">
        <v>7</v>
      </c>
      <c r="E53" s="2">
        <v>9</v>
      </c>
    </row>
    <row r="54" spans="1:5" x14ac:dyDescent="0.25">
      <c r="A54" s="2" t="s">
        <v>110</v>
      </c>
      <c r="B54" s="2" t="s">
        <v>111</v>
      </c>
      <c r="C54" s="2">
        <v>3</v>
      </c>
      <c r="D54" s="2" t="s">
        <v>7</v>
      </c>
      <c r="E54" s="2">
        <v>9</v>
      </c>
    </row>
    <row r="55" spans="1:5" x14ac:dyDescent="0.25">
      <c r="A55" s="2" t="s">
        <v>112</v>
      </c>
      <c r="B55" s="2" t="s">
        <v>113</v>
      </c>
      <c r="C55" s="2">
        <v>3</v>
      </c>
      <c r="D55" s="2" t="s">
        <v>7</v>
      </c>
      <c r="E55" s="2">
        <v>9</v>
      </c>
    </row>
    <row r="56" spans="1:5" x14ac:dyDescent="0.25">
      <c r="A56" s="2" t="s">
        <v>114</v>
      </c>
      <c r="B56" s="2" t="s">
        <v>115</v>
      </c>
      <c r="C56" s="2">
        <v>3</v>
      </c>
      <c r="D56" s="2" t="s">
        <v>7</v>
      </c>
      <c r="E56" s="2">
        <v>9</v>
      </c>
    </row>
    <row r="57" spans="1:5" x14ac:dyDescent="0.25">
      <c r="A57" s="2" t="s">
        <v>116</v>
      </c>
      <c r="B57" s="2" t="s">
        <v>117</v>
      </c>
      <c r="C57" s="2">
        <v>3</v>
      </c>
      <c r="D57" s="2" t="s">
        <v>7</v>
      </c>
      <c r="E57" s="2">
        <v>9</v>
      </c>
    </row>
    <row r="58" spans="1:5" x14ac:dyDescent="0.25">
      <c r="A58" s="2" t="s">
        <v>118</v>
      </c>
      <c r="B58" s="2" t="s">
        <v>119</v>
      </c>
      <c r="C58" s="2">
        <v>1</v>
      </c>
      <c r="D58" s="2" t="s">
        <v>7</v>
      </c>
      <c r="E58" s="2">
        <v>10</v>
      </c>
    </row>
    <row r="59" spans="1:5" x14ac:dyDescent="0.25">
      <c r="A59" s="2" t="s">
        <v>120</v>
      </c>
      <c r="B59" s="2" t="s">
        <v>121</v>
      </c>
      <c r="C59" s="2">
        <v>2</v>
      </c>
      <c r="D59" s="2" t="s">
        <v>7</v>
      </c>
      <c r="E59" s="2">
        <v>10</v>
      </c>
    </row>
    <row r="60" spans="1:5" x14ac:dyDescent="0.25">
      <c r="A60" s="2" t="s">
        <v>122</v>
      </c>
      <c r="B60" s="2" t="s">
        <v>123</v>
      </c>
      <c r="C60" s="2">
        <v>3</v>
      </c>
      <c r="D60" s="2" t="s">
        <v>7</v>
      </c>
      <c r="E60" s="2">
        <v>10</v>
      </c>
    </row>
    <row r="61" spans="1:5" x14ac:dyDescent="0.25">
      <c r="A61" s="2" t="s">
        <v>124</v>
      </c>
      <c r="B61" s="2" t="s">
        <v>125</v>
      </c>
      <c r="C61" s="2">
        <v>3</v>
      </c>
      <c r="D61" s="2" t="s">
        <v>7</v>
      </c>
      <c r="E61" s="2">
        <v>10</v>
      </c>
    </row>
    <row r="62" spans="1:5" x14ac:dyDescent="0.25">
      <c r="A62" s="2" t="s">
        <v>126</v>
      </c>
      <c r="B62" s="2" t="s">
        <v>127</v>
      </c>
      <c r="C62" s="2">
        <v>3</v>
      </c>
      <c r="D62" s="2" t="s">
        <v>7</v>
      </c>
      <c r="E62" s="2">
        <v>10</v>
      </c>
    </row>
    <row r="63" spans="1:5" x14ac:dyDescent="0.25">
      <c r="A63" s="2" t="s">
        <v>128</v>
      </c>
      <c r="B63" s="2" t="s">
        <v>129</v>
      </c>
      <c r="C63" s="2">
        <v>2</v>
      </c>
      <c r="D63" s="2" t="s">
        <v>7</v>
      </c>
      <c r="E63" s="2">
        <v>10</v>
      </c>
    </row>
    <row r="64" spans="1:5" x14ac:dyDescent="0.25">
      <c r="A64" s="2" t="s">
        <v>130</v>
      </c>
      <c r="B64" s="2" t="s">
        <v>131</v>
      </c>
      <c r="C64" s="2">
        <v>2</v>
      </c>
      <c r="D64" s="2" t="s">
        <v>132</v>
      </c>
      <c r="E64" s="2"/>
    </row>
    <row r="65" spans="1:5" x14ac:dyDescent="0.25">
      <c r="A65" s="2" t="s">
        <v>133</v>
      </c>
      <c r="B65" s="2" t="s">
        <v>134</v>
      </c>
      <c r="C65" s="2">
        <v>3</v>
      </c>
      <c r="D65" s="2" t="s">
        <v>132</v>
      </c>
      <c r="E65" s="2"/>
    </row>
    <row r="66" spans="1:5" x14ac:dyDescent="0.25">
      <c r="A66" s="2" t="s">
        <v>135</v>
      </c>
      <c r="B66" s="2" t="s">
        <v>136</v>
      </c>
      <c r="C66" s="2">
        <v>2</v>
      </c>
      <c r="D66" s="2" t="s">
        <v>132</v>
      </c>
      <c r="E66" s="2"/>
    </row>
    <row r="67" spans="1:5" x14ac:dyDescent="0.25">
      <c r="A67" s="2" t="s">
        <v>137</v>
      </c>
      <c r="B67" s="2" t="s">
        <v>138</v>
      </c>
      <c r="C67" s="2">
        <v>3</v>
      </c>
      <c r="D67" s="2" t="s">
        <v>132</v>
      </c>
      <c r="E67" s="2"/>
    </row>
    <row r="68" spans="1:5" x14ac:dyDescent="0.25">
      <c r="A68" s="2" t="s">
        <v>139</v>
      </c>
      <c r="B68" s="2" t="s">
        <v>140</v>
      </c>
      <c r="C68" s="2">
        <v>2</v>
      </c>
      <c r="D68" s="2" t="s">
        <v>132</v>
      </c>
      <c r="E68" s="2"/>
    </row>
    <row r="69" spans="1:5" x14ac:dyDescent="0.25">
      <c r="A69" s="2" t="s">
        <v>141</v>
      </c>
      <c r="B69" s="2" t="s">
        <v>142</v>
      </c>
      <c r="C69" s="2">
        <v>2</v>
      </c>
      <c r="D69" s="2" t="s">
        <v>132</v>
      </c>
      <c r="E69" s="2"/>
    </row>
    <row r="70" spans="1:5" x14ac:dyDescent="0.25">
      <c r="A70" s="2" t="s">
        <v>143</v>
      </c>
      <c r="B70" s="2" t="s">
        <v>144</v>
      </c>
      <c r="C70" s="2">
        <v>2</v>
      </c>
      <c r="D70" s="2" t="s">
        <v>132</v>
      </c>
      <c r="E70" s="2"/>
    </row>
    <row r="71" spans="1:5" x14ac:dyDescent="0.25">
      <c r="A71" s="2" t="s">
        <v>145</v>
      </c>
      <c r="B71" s="2" t="s">
        <v>146</v>
      </c>
      <c r="C71" s="2">
        <v>2</v>
      </c>
      <c r="D71" s="2" t="s">
        <v>132</v>
      </c>
      <c r="E71" s="2"/>
    </row>
    <row r="72" spans="1:5" x14ac:dyDescent="0.25">
      <c r="A72" s="2" t="s">
        <v>147</v>
      </c>
      <c r="B72" s="2" t="s">
        <v>148</v>
      </c>
      <c r="C72" s="2">
        <v>3</v>
      </c>
      <c r="D72" s="2" t="s">
        <v>132</v>
      </c>
      <c r="E72" s="2"/>
    </row>
    <row r="73" spans="1:5" x14ac:dyDescent="0.25">
      <c r="A73" s="2" t="s">
        <v>149</v>
      </c>
      <c r="B73" s="2" t="s">
        <v>150</v>
      </c>
      <c r="C73" s="2">
        <v>3</v>
      </c>
      <c r="D73" s="2" t="s">
        <v>132</v>
      </c>
      <c r="E73" s="2"/>
    </row>
    <row r="74" spans="1:5" x14ac:dyDescent="0.25">
      <c r="A74" s="2" t="s">
        <v>151</v>
      </c>
      <c r="B74" s="2" t="s">
        <v>152</v>
      </c>
      <c r="C74" s="2">
        <v>3</v>
      </c>
      <c r="D74" s="2" t="s">
        <v>132</v>
      </c>
      <c r="E74" s="2"/>
    </row>
    <row r="75" spans="1:5" x14ac:dyDescent="0.25">
      <c r="A75" s="2" t="s">
        <v>153</v>
      </c>
      <c r="B75" s="2" t="s">
        <v>154</v>
      </c>
      <c r="C75" s="2">
        <v>3</v>
      </c>
      <c r="D75" s="2" t="s">
        <v>132</v>
      </c>
      <c r="E75" s="2"/>
    </row>
    <row r="76" spans="1:5" x14ac:dyDescent="0.25">
      <c r="A76" s="2" t="s">
        <v>155</v>
      </c>
      <c r="B76" s="2" t="s">
        <v>156</v>
      </c>
      <c r="C76" s="2">
        <v>2</v>
      </c>
      <c r="D76" s="2" t="s">
        <v>132</v>
      </c>
      <c r="E76" s="2"/>
    </row>
    <row r="77" spans="1:5" x14ac:dyDescent="0.25">
      <c r="A77" s="2" t="s">
        <v>157</v>
      </c>
      <c r="B77" s="2" t="s">
        <v>158</v>
      </c>
      <c r="C77" s="2">
        <v>3</v>
      </c>
      <c r="D77" s="2" t="s">
        <v>132</v>
      </c>
      <c r="E77" s="2"/>
    </row>
    <row r="78" spans="1:5" x14ac:dyDescent="0.25">
      <c r="A78" s="2" t="s">
        <v>159</v>
      </c>
      <c r="B78" s="2" t="s">
        <v>160</v>
      </c>
      <c r="C78" s="2">
        <v>3</v>
      </c>
      <c r="D78" s="2" t="s">
        <v>132</v>
      </c>
      <c r="E78" s="2"/>
    </row>
    <row r="79" spans="1:5" x14ac:dyDescent="0.25">
      <c r="A79" s="2" t="s">
        <v>161</v>
      </c>
      <c r="B79" s="2" t="s">
        <v>162</v>
      </c>
      <c r="C79" s="2">
        <v>3</v>
      </c>
      <c r="D79" s="2" t="s">
        <v>163</v>
      </c>
      <c r="E79" s="2"/>
    </row>
    <row r="80" spans="1:5" x14ac:dyDescent="0.25">
      <c r="A80" s="2" t="s">
        <v>164</v>
      </c>
      <c r="B80" s="2" t="s">
        <v>165</v>
      </c>
      <c r="C80" s="2">
        <v>3</v>
      </c>
      <c r="D80" s="2" t="s">
        <v>163</v>
      </c>
      <c r="E80" s="2"/>
    </row>
    <row r="81" spans="1:5" x14ac:dyDescent="0.25">
      <c r="A81" s="2" t="s">
        <v>166</v>
      </c>
      <c r="B81" s="2" t="s">
        <v>167</v>
      </c>
      <c r="C81" s="2">
        <v>3</v>
      </c>
      <c r="D81" s="2" t="s">
        <v>163</v>
      </c>
      <c r="E81" s="2"/>
    </row>
    <row r="82" spans="1:5" x14ac:dyDescent="0.25">
      <c r="A82" s="2" t="s">
        <v>168</v>
      </c>
      <c r="B82" s="2" t="s">
        <v>169</v>
      </c>
      <c r="C82" s="2">
        <v>3</v>
      </c>
      <c r="D82" s="2" t="s">
        <v>163</v>
      </c>
      <c r="E82" s="2"/>
    </row>
    <row r="83" spans="1:5" x14ac:dyDescent="0.25">
      <c r="A83" s="2" t="s">
        <v>170</v>
      </c>
      <c r="B83" s="2" t="s">
        <v>171</v>
      </c>
      <c r="C83" s="2">
        <v>3</v>
      </c>
      <c r="D83" s="2" t="s">
        <v>163</v>
      </c>
      <c r="E83" s="2"/>
    </row>
    <row r="84" spans="1:5" x14ac:dyDescent="0.25">
      <c r="A84" s="2" t="s">
        <v>172</v>
      </c>
      <c r="B84" s="2" t="s">
        <v>173</v>
      </c>
      <c r="C84" s="2">
        <v>3</v>
      </c>
      <c r="D84" s="2" t="s">
        <v>163</v>
      </c>
      <c r="E84" s="2"/>
    </row>
    <row r="85" spans="1:5" x14ac:dyDescent="0.25">
      <c r="A85" s="2" t="s">
        <v>174</v>
      </c>
      <c r="B85" s="2" t="s">
        <v>175</v>
      </c>
      <c r="C85" s="2">
        <v>3</v>
      </c>
      <c r="D85" s="2" t="s">
        <v>163</v>
      </c>
      <c r="E85" s="2"/>
    </row>
    <row r="86" spans="1:5" x14ac:dyDescent="0.25">
      <c r="A86" s="2" t="s">
        <v>176</v>
      </c>
      <c r="B86" s="2" t="s">
        <v>177</v>
      </c>
      <c r="C86" s="2">
        <v>3</v>
      </c>
      <c r="D86" s="2" t="s">
        <v>163</v>
      </c>
      <c r="E86" s="2"/>
    </row>
    <row r="87" spans="1:5" x14ac:dyDescent="0.25">
      <c r="A87" s="2" t="s">
        <v>178</v>
      </c>
      <c r="B87" s="2" t="s">
        <v>179</v>
      </c>
      <c r="C87" s="2">
        <v>3</v>
      </c>
      <c r="D87" s="2" t="s">
        <v>163</v>
      </c>
      <c r="E87" s="2"/>
    </row>
    <row r="88" spans="1:5" x14ac:dyDescent="0.25">
      <c r="A88" s="2" t="s">
        <v>180</v>
      </c>
      <c r="B88" s="2" t="s">
        <v>181</v>
      </c>
      <c r="C88" s="2">
        <v>3</v>
      </c>
      <c r="D88" s="2" t="s">
        <v>163</v>
      </c>
      <c r="E88" s="2"/>
    </row>
    <row r="89" spans="1:5" x14ac:dyDescent="0.25">
      <c r="A89" s="2" t="s">
        <v>182</v>
      </c>
      <c r="B89" s="2" t="s">
        <v>183</v>
      </c>
      <c r="C89" s="2">
        <v>3</v>
      </c>
      <c r="D89" s="2" t="s">
        <v>163</v>
      </c>
      <c r="E89" s="2"/>
    </row>
    <row r="90" spans="1:5" x14ac:dyDescent="0.25">
      <c r="A90" s="2" t="s">
        <v>184</v>
      </c>
      <c r="B90" s="2" t="s">
        <v>185</v>
      </c>
      <c r="C90" s="2">
        <v>3</v>
      </c>
      <c r="D90" s="2" t="s">
        <v>163</v>
      </c>
      <c r="E90" s="2"/>
    </row>
    <row r="91" spans="1:5" x14ac:dyDescent="0.25">
      <c r="A91" s="2" t="s">
        <v>186</v>
      </c>
      <c r="B91" s="2" t="s">
        <v>187</v>
      </c>
      <c r="C91" s="2">
        <v>3</v>
      </c>
      <c r="D91" s="2" t="s">
        <v>163</v>
      </c>
      <c r="E91" s="2"/>
    </row>
    <row r="92" spans="1:5" x14ac:dyDescent="0.25">
      <c r="A92" s="2" t="s">
        <v>188</v>
      </c>
      <c r="B92" s="2" t="s">
        <v>189</v>
      </c>
      <c r="C92" s="2">
        <v>3</v>
      </c>
      <c r="D92" s="2" t="s">
        <v>163</v>
      </c>
      <c r="E92" s="2"/>
    </row>
    <row r="93" spans="1:5" x14ac:dyDescent="0.25">
      <c r="A93" s="2" t="s">
        <v>190</v>
      </c>
      <c r="B93" s="2" t="s">
        <v>191</v>
      </c>
      <c r="C93" s="2">
        <v>3</v>
      </c>
      <c r="D93" s="2" t="s">
        <v>163</v>
      </c>
      <c r="E93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3"/>
  <sheetViews>
    <sheetView zoomScaleNormal="100" workbookViewId="0">
      <pane ySplit="1" topLeftCell="A2" activePane="bottomLeft" state="frozen"/>
      <selection pane="bottomLeft" activeCell="F22" sqref="F22"/>
    </sheetView>
  </sheetViews>
  <sheetFormatPr baseColWidth="10" defaultColWidth="8.7109375" defaultRowHeight="15" x14ac:dyDescent="0.25"/>
  <cols>
    <col min="1" max="1" width="14" customWidth="1"/>
    <col min="2" max="2" width="18" customWidth="1"/>
    <col min="3" max="3" width="58.7109375" bestFit="1" customWidth="1"/>
  </cols>
  <sheetData>
    <row r="1" spans="1:3" ht="30" customHeight="1" x14ac:dyDescent="0.25">
      <c r="A1" s="1" t="s">
        <v>0</v>
      </c>
      <c r="B1" s="1" t="s">
        <v>192</v>
      </c>
      <c r="C1" s="1" t="s">
        <v>193</v>
      </c>
    </row>
    <row r="2" spans="1:3" x14ac:dyDescent="0.25">
      <c r="A2" s="2" t="s">
        <v>22</v>
      </c>
      <c r="B2" s="2" t="s">
        <v>8</v>
      </c>
      <c r="C2" s="2" t="str">
        <f>IFERROR(INDEX(Cursos!$B$2:$B$93,MATCH(B2,Cursos!$A$2:$A$93,0)),"")</f>
        <v>CALCULO DIFERENCIAL</v>
      </c>
    </row>
    <row r="3" spans="1:3" x14ac:dyDescent="0.25">
      <c r="A3" s="2" t="s">
        <v>24</v>
      </c>
      <c r="B3" s="2" t="s">
        <v>14</v>
      </c>
      <c r="C3" s="2" t="str">
        <f>IFERROR(INDEX(Cursos!$B$2:$B$93,MATCH(B3,Cursos!$A$2:$A$93,0)),"")</f>
        <v>GEOMETRIA ANALITICA</v>
      </c>
    </row>
    <row r="4" spans="1:3" x14ac:dyDescent="0.25">
      <c r="A4" s="2" t="s">
        <v>26</v>
      </c>
      <c r="B4" s="2" t="s">
        <v>12</v>
      </c>
      <c r="C4" s="2" t="str">
        <f>IFERROR(INDEX(Cursos!$B$2:$B$93,MATCH(B4,Cursos!$A$2:$A$93,0)),"")</f>
        <v>REDACCION Y COMUNICACION</v>
      </c>
    </row>
    <row r="5" spans="1:3" x14ac:dyDescent="0.25">
      <c r="A5" s="2" t="s">
        <v>28</v>
      </c>
      <c r="B5" s="2" t="s">
        <v>10</v>
      </c>
      <c r="C5" s="2" t="str">
        <f>IFERROR(INDEX(Cursos!$B$2:$B$93,MATCH(B5,Cursos!$A$2:$A$93,0)),"")</f>
        <v>QUIMICA I</v>
      </c>
    </row>
    <row r="6" spans="1:3" x14ac:dyDescent="0.25">
      <c r="A6" s="2" t="s">
        <v>30</v>
      </c>
      <c r="B6" s="2" t="s">
        <v>5</v>
      </c>
      <c r="C6" s="2" t="str">
        <f>IFERROR(INDEX(Cursos!$B$2:$B$93,MATCH(B6,Cursos!$A$2:$A$93,0)),"")</f>
        <v>ETICA Y FILOSOFIA POLITICA</v>
      </c>
    </row>
    <row r="7" spans="1:3" x14ac:dyDescent="0.25">
      <c r="A7" s="2" t="s">
        <v>34</v>
      </c>
      <c r="B7" s="2" t="s">
        <v>22</v>
      </c>
      <c r="C7" s="2" t="str">
        <f>IFERROR(INDEX(Cursos!$B$2:$B$93,MATCH(B7,Cursos!$A$2:$A$93,0)),"")</f>
        <v>CALCULO INTEGRAL</v>
      </c>
    </row>
    <row r="8" spans="1:3" x14ac:dyDescent="0.25">
      <c r="A8" s="2" t="s">
        <v>36</v>
      </c>
      <c r="B8" s="2" t="s">
        <v>20</v>
      </c>
      <c r="C8" s="2" t="str">
        <f>IFERROR(INDEX(Cursos!$B$2:$B$93,MATCH(B8,Cursos!$A$2:$A$93,0)),"")</f>
        <v>INTRODUCCION A LA COMPUTACION</v>
      </c>
    </row>
    <row r="9" spans="1:3" x14ac:dyDescent="0.25">
      <c r="A9" s="2" t="s">
        <v>38</v>
      </c>
      <c r="B9" s="2" t="s">
        <v>22</v>
      </c>
      <c r="C9" s="2" t="str">
        <f>IFERROR(INDEX(Cursos!$B$2:$B$93,MATCH(B9,Cursos!$A$2:$A$93,0)),"")</f>
        <v>CALCULO INTEGRAL</v>
      </c>
    </row>
    <row r="10" spans="1:3" x14ac:dyDescent="0.25">
      <c r="A10" s="2" t="s">
        <v>38</v>
      </c>
      <c r="B10" s="2" t="s">
        <v>24</v>
      </c>
      <c r="C10" s="2" t="str">
        <f>IFERROR(INDEX(Cursos!$B$2:$B$93,MATCH(B10,Cursos!$A$2:$A$93,0)),"")</f>
        <v>ALGEBRA LINEAL</v>
      </c>
    </row>
    <row r="11" spans="1:3" x14ac:dyDescent="0.25">
      <c r="A11" s="2" t="s">
        <v>40</v>
      </c>
      <c r="B11" s="2" t="s">
        <v>5</v>
      </c>
      <c r="C11" s="2" t="str">
        <f>IFERROR(INDEX(Cursos!$B$2:$B$93,MATCH(B11,Cursos!$A$2:$A$93,0)),"")</f>
        <v>ETICA Y FILOSOFIA POLITICA</v>
      </c>
    </row>
    <row r="12" spans="1:3" x14ac:dyDescent="0.25">
      <c r="A12" s="2" t="s">
        <v>42</v>
      </c>
      <c r="B12" s="2" t="s">
        <v>18</v>
      </c>
      <c r="C12" s="2" t="str">
        <f>IFERROR(INDEX(Cursos!$B$2:$B$93,MATCH(B12,Cursos!$A$2:$A$93,0)),"")</f>
        <v>DIBUJO DE INGENIERIA</v>
      </c>
    </row>
    <row r="13" spans="1:3" x14ac:dyDescent="0.25">
      <c r="A13" s="2" t="s">
        <v>44</v>
      </c>
      <c r="B13" s="2" t="s">
        <v>28</v>
      </c>
      <c r="C13" s="2" t="str">
        <f>IFERROR(INDEX(Cursos!$B$2:$B$93,MATCH(B13,Cursos!$A$2:$A$93,0)),"")</f>
        <v>QUIMICA II</v>
      </c>
    </row>
    <row r="14" spans="1:3" x14ac:dyDescent="0.25">
      <c r="A14" s="2" t="s">
        <v>46</v>
      </c>
      <c r="B14" s="2" t="s">
        <v>40</v>
      </c>
      <c r="C14" s="2" t="str">
        <f>IFERROR(INDEX(Cursos!$B$2:$B$93,MATCH(B14,Cursos!$A$2:$A$93,0)),"")</f>
        <v>METODOLOGIA DE LA INVESTIGACION</v>
      </c>
    </row>
    <row r="15" spans="1:3" x14ac:dyDescent="0.25">
      <c r="A15" s="2" t="s">
        <v>48</v>
      </c>
      <c r="B15" s="2" t="s">
        <v>38</v>
      </c>
      <c r="C15" s="2" t="str">
        <f>IFERROR(INDEX(Cursos!$B$2:$B$93,MATCH(B15,Cursos!$A$2:$A$93,0)),"")</f>
        <v>CALCULO MULTIVARIABLE</v>
      </c>
    </row>
    <row r="16" spans="1:3" x14ac:dyDescent="0.25">
      <c r="A16" s="2" t="s">
        <v>50</v>
      </c>
      <c r="B16" s="2" t="s">
        <v>34</v>
      </c>
      <c r="C16" s="2" t="str">
        <f>IFERROR(INDEX(Cursos!$B$2:$B$93,MATCH(B16,Cursos!$A$2:$A$93,0)),"")</f>
        <v>FISICA I</v>
      </c>
    </row>
    <row r="17" spans="1:3" x14ac:dyDescent="0.25">
      <c r="A17" s="2" t="s">
        <v>52</v>
      </c>
      <c r="B17" s="2" t="s">
        <v>38</v>
      </c>
      <c r="C17" s="2" t="str">
        <f>IFERROR(INDEX(Cursos!$B$2:$B$93,MATCH(B17,Cursos!$A$2:$A$93,0)),"")</f>
        <v>CALCULO MULTIVARIABLE</v>
      </c>
    </row>
    <row r="18" spans="1:3" x14ac:dyDescent="0.25">
      <c r="A18" s="2" t="s">
        <v>54</v>
      </c>
      <c r="B18" s="2" t="s">
        <v>36</v>
      </c>
      <c r="C18" s="2" t="str">
        <f>IFERROR(INDEX(Cursos!$B$2:$B$93,MATCH(B18,Cursos!$A$2:$A$93,0)),"")</f>
        <v>MATEMATICA DISCRETA</v>
      </c>
    </row>
    <row r="19" spans="1:3" x14ac:dyDescent="0.25">
      <c r="A19" s="2" t="s">
        <v>56</v>
      </c>
      <c r="B19" s="2" t="s">
        <v>34</v>
      </c>
      <c r="C19" s="2" t="str">
        <f>IFERROR(INDEX(Cursos!$B$2:$B$93,MATCH(B19,Cursos!$A$2:$A$93,0)),"")</f>
        <v>FISICA I</v>
      </c>
    </row>
    <row r="20" spans="1:3" x14ac:dyDescent="0.25">
      <c r="A20" s="2" t="s">
        <v>56</v>
      </c>
      <c r="B20" s="2" t="s">
        <v>44</v>
      </c>
      <c r="C20" s="2" t="str">
        <f>IFERROR(INDEX(Cursos!$B$2:$B$93,MATCH(B20,Cursos!$A$2:$A$93,0)),"")</f>
        <v>TERMODINAMICA</v>
      </c>
    </row>
    <row r="21" spans="1:3" x14ac:dyDescent="0.25">
      <c r="A21" s="2" t="s">
        <v>58</v>
      </c>
      <c r="B21" s="2" t="s">
        <v>16</v>
      </c>
      <c r="C21" s="2" t="str">
        <f>IFERROR(INDEX(Cursos!$B$2:$B$93,MATCH(B21,Cursos!$A$2:$A$93,0)),"")</f>
        <v>INTRODUCCION A LA INGENIERIA INDUSTRIAL</v>
      </c>
    </row>
    <row r="22" spans="1:3" x14ac:dyDescent="0.25">
      <c r="A22" s="2" t="s">
        <v>60</v>
      </c>
      <c r="B22" s="2" t="s">
        <v>46</v>
      </c>
      <c r="C22" s="2" t="str">
        <f>IFERROR(INDEX(Cursos!$B$2:$B$93,MATCH(B22,Cursos!$A$2:$A$93,0)),"")</f>
        <v>ECONOMIA GENERAL</v>
      </c>
    </row>
    <row r="23" spans="1:3" x14ac:dyDescent="0.25">
      <c r="A23" s="2" t="s">
        <v>62</v>
      </c>
      <c r="B23" s="2" t="s">
        <v>26</v>
      </c>
      <c r="C23" s="2" t="str">
        <f>IFERROR(INDEX(Cursos!$B$2:$B$93,MATCH(B23,Cursos!$A$2:$A$93,0)),"")</f>
        <v>REALIDAD NACIONAL, CONSTITUCION Y DERECHOS HUMANOS</v>
      </c>
    </row>
    <row r="24" spans="1:3" x14ac:dyDescent="0.25">
      <c r="A24" s="2" t="s">
        <v>62</v>
      </c>
      <c r="B24" s="2" t="s">
        <v>30</v>
      </c>
      <c r="C24" s="2" t="str">
        <f>IFERROR(INDEX(Cursos!$B$2:$B$93,MATCH(B24,Cursos!$A$2:$A$93,0)),"")</f>
        <v>DESARROLLO PERSONAL</v>
      </c>
    </row>
    <row r="25" spans="1:3" x14ac:dyDescent="0.25">
      <c r="A25" s="2" t="s">
        <v>64</v>
      </c>
      <c r="B25" s="2" t="s">
        <v>48</v>
      </c>
      <c r="C25" s="2" t="str">
        <f>IFERROR(INDEX(Cursos!$B$2:$B$93,MATCH(B25,Cursos!$A$2:$A$93,0)),"")</f>
        <v>ESTADISTICA Y PROBABILIDADES</v>
      </c>
    </row>
    <row r="26" spans="1:3" x14ac:dyDescent="0.25">
      <c r="A26" s="2" t="s">
        <v>66</v>
      </c>
      <c r="B26" s="2" t="s">
        <v>50</v>
      </c>
      <c r="C26" s="2" t="str">
        <f>IFERROR(INDEX(Cursos!$B$2:$B$93,MATCH(B26,Cursos!$A$2:$A$93,0)),"")</f>
        <v>FISICA II</v>
      </c>
    </row>
    <row r="27" spans="1:3" x14ac:dyDescent="0.25">
      <c r="A27" s="2" t="s">
        <v>68</v>
      </c>
      <c r="B27" s="2" t="s">
        <v>32</v>
      </c>
      <c r="C27" s="2" t="str">
        <f>IFERROR(INDEX(Cursos!$B$2:$B$93,MATCH(B27,Cursos!$A$2:$A$93,0)),"")</f>
        <v>TEORIA GENERAL DE SISTEMAS</v>
      </c>
    </row>
    <row r="28" spans="1:3" x14ac:dyDescent="0.25">
      <c r="A28" s="2" t="s">
        <v>68</v>
      </c>
      <c r="B28" s="2" t="s">
        <v>56</v>
      </c>
      <c r="C28" s="2" t="str">
        <f>IFERROR(INDEX(Cursos!$B$2:$B$93,MATCH(B28,Cursos!$A$2:$A$93,0)),"")</f>
        <v>FISICO QUIMICA Y OPERACIONES UNITARIAS</v>
      </c>
    </row>
    <row r="29" spans="1:3" x14ac:dyDescent="0.25">
      <c r="A29" s="2" t="s">
        <v>70</v>
      </c>
      <c r="B29" s="2" t="s">
        <v>50</v>
      </c>
      <c r="C29" s="2" t="str">
        <f>IFERROR(INDEX(Cursos!$B$2:$B$93,MATCH(B29,Cursos!$A$2:$A$93,0)),"")</f>
        <v>FISICA II</v>
      </c>
    </row>
    <row r="30" spans="1:3" x14ac:dyDescent="0.25">
      <c r="A30" s="2" t="s">
        <v>70</v>
      </c>
      <c r="B30" s="2" t="s">
        <v>42</v>
      </c>
      <c r="C30" s="2" t="str">
        <f>IFERROR(INDEX(Cursos!$B$2:$B$93,MATCH(B30,Cursos!$A$2:$A$93,0)),"")</f>
        <v>DISEÑO ASISTIDO POR COMPUTADOR</v>
      </c>
    </row>
    <row r="31" spans="1:3" x14ac:dyDescent="0.25">
      <c r="A31" s="2" t="s">
        <v>74</v>
      </c>
      <c r="B31" s="2" t="s">
        <v>58</v>
      </c>
      <c r="C31" s="2" t="str">
        <f>IFERROR(INDEX(Cursos!$B$2:$B$93,MATCH(B31,Cursos!$A$2:$A$93,0)),"")</f>
        <v>INGENIERIA DEL TRABAJO I</v>
      </c>
    </row>
    <row r="32" spans="1:3" x14ac:dyDescent="0.25">
      <c r="A32" s="2" t="s">
        <v>76</v>
      </c>
      <c r="B32" s="2" t="s">
        <v>62</v>
      </c>
      <c r="C32" s="2" t="str">
        <f>IFERROR(INDEX(Cursos!$B$2:$B$93,MATCH(B32,Cursos!$A$2:$A$93,0)),"")</f>
        <v>SOCIOLOGIA</v>
      </c>
    </row>
    <row r="33" spans="1:3" x14ac:dyDescent="0.25">
      <c r="A33" s="2" t="s">
        <v>78</v>
      </c>
      <c r="B33" s="2" t="s">
        <v>64</v>
      </c>
      <c r="C33" s="2" t="str">
        <f>IFERROR(INDEX(Cursos!$B$2:$B$93,MATCH(B33,Cursos!$A$2:$A$93,0)),"")</f>
        <v>INVESTIGACION DE OPERACIONES I</v>
      </c>
    </row>
    <row r="34" spans="1:3" x14ac:dyDescent="0.25">
      <c r="A34" s="2" t="s">
        <v>80</v>
      </c>
      <c r="B34" s="2" t="s">
        <v>68</v>
      </c>
      <c r="C34" s="2" t="str">
        <f>IFERROR(INDEX(Cursos!$B$2:$B$93,MATCH(B34,Cursos!$A$2:$A$93,0)),"")</f>
        <v>PROCESOS INDUSTRIALES I</v>
      </c>
    </row>
    <row r="35" spans="1:3" x14ac:dyDescent="0.25">
      <c r="A35" s="2" t="s">
        <v>82</v>
      </c>
      <c r="B35" s="2" t="s">
        <v>48</v>
      </c>
      <c r="C35" s="2" t="str">
        <f>IFERROR(INDEX(Cursos!$B$2:$B$93,MATCH(B35,Cursos!$A$2:$A$93,0)),"")</f>
        <v>ESTADISTICA Y PROBABILIDADES</v>
      </c>
    </row>
    <row r="36" spans="1:3" x14ac:dyDescent="0.25">
      <c r="A36" s="2" t="s">
        <v>84</v>
      </c>
      <c r="B36" s="2" t="s">
        <v>70</v>
      </c>
      <c r="C36" s="2" t="str">
        <f>IFERROR(INDEX(Cursos!$B$2:$B$93,MATCH(B36,Cursos!$A$2:$A$93,0)),"")</f>
        <v>INGENIERIA DE MATERIALES</v>
      </c>
    </row>
    <row r="37" spans="1:3" x14ac:dyDescent="0.25">
      <c r="A37" s="2" t="s">
        <v>86</v>
      </c>
      <c r="B37" s="2" t="s">
        <v>76</v>
      </c>
      <c r="C37" s="2" t="str">
        <f>IFERROR(INDEX(Cursos!$B$2:$B$93,MATCH(B37,Cursos!$A$2:$A$93,0)),"")</f>
        <v>ADMINISTRACION Y ORGANIZACION</v>
      </c>
    </row>
    <row r="38" spans="1:3" x14ac:dyDescent="0.25">
      <c r="A38" s="2" t="s">
        <v>88</v>
      </c>
      <c r="B38" s="2" t="s">
        <v>60</v>
      </c>
      <c r="C38" s="2" t="str">
        <f>IFERROR(INDEX(Cursos!$B$2:$B$93,MATCH(B38,Cursos!$A$2:$A$93,0)),"")</f>
        <v>CONTABILIDAD FINANCIERA</v>
      </c>
    </row>
    <row r="39" spans="1:3" x14ac:dyDescent="0.25">
      <c r="A39" s="2" t="s">
        <v>90</v>
      </c>
      <c r="B39" s="2" t="s">
        <v>60</v>
      </c>
      <c r="C39" s="2" t="str">
        <f>IFERROR(INDEX(Cursos!$B$2:$B$93,MATCH(B39,Cursos!$A$2:$A$93,0)),"")</f>
        <v>CONTABILIDAD FINANCIERA</v>
      </c>
    </row>
    <row r="40" spans="1:3" x14ac:dyDescent="0.25">
      <c r="A40" s="2" t="s">
        <v>92</v>
      </c>
      <c r="B40" s="2" t="s">
        <v>76</v>
      </c>
      <c r="C40" s="2" t="str">
        <f>IFERROR(INDEX(Cursos!$B$2:$B$93,MATCH(B40,Cursos!$A$2:$A$93,0)),"")</f>
        <v>ADMINISTRACION Y ORGANIZACION</v>
      </c>
    </row>
    <row r="41" spans="1:3" x14ac:dyDescent="0.25">
      <c r="A41" s="2" t="s">
        <v>94</v>
      </c>
      <c r="B41" s="2" t="s">
        <v>54</v>
      </c>
      <c r="C41" s="2" t="str">
        <f>IFERROR(INDEX(Cursos!$B$2:$B$93,MATCH(B41,Cursos!$A$2:$A$93,0)),"")</f>
        <v>LENGUAJE DE PROGRAMACION</v>
      </c>
    </row>
    <row r="42" spans="1:3" x14ac:dyDescent="0.25">
      <c r="A42" s="2" t="s">
        <v>94</v>
      </c>
      <c r="B42" s="2" t="s">
        <v>78</v>
      </c>
      <c r="C42" s="2" t="str">
        <f>IFERROR(INDEX(Cursos!$B$2:$B$93,MATCH(B42,Cursos!$A$2:$A$93,0)),"")</f>
        <v>INVESTIGACION DE OPERACIONES II</v>
      </c>
    </row>
    <row r="43" spans="1:3" x14ac:dyDescent="0.25">
      <c r="A43" s="2" t="s">
        <v>96</v>
      </c>
      <c r="B43" s="2" t="s">
        <v>74</v>
      </c>
      <c r="C43" s="2" t="str">
        <f>IFERROR(INDEX(Cursos!$B$2:$B$93,MATCH(B43,Cursos!$A$2:$A$93,0)),"")</f>
        <v>INGENIERIA DEL TRABAJO II</v>
      </c>
    </row>
    <row r="44" spans="1:3" x14ac:dyDescent="0.25">
      <c r="A44" s="2" t="s">
        <v>96</v>
      </c>
      <c r="B44" s="2" t="s">
        <v>84</v>
      </c>
      <c r="C44" s="2" t="str">
        <f>IFERROR(INDEX(Cursos!$B$2:$B$93,MATCH(B44,Cursos!$A$2:$A$93,0)),"")</f>
        <v>MAQUINARIA E INSTRUMENTACION INDUSTRIAL</v>
      </c>
    </row>
    <row r="45" spans="1:3" x14ac:dyDescent="0.25">
      <c r="A45" s="2" t="s">
        <v>98</v>
      </c>
      <c r="B45" s="2" t="s">
        <v>86</v>
      </c>
      <c r="C45" s="2" t="str">
        <f>IFERROR(INDEX(Cursos!$B$2:$B$93,MATCH(B45,Cursos!$A$2:$A$93,0)),"")</f>
        <v>LOGISTICA EMPRESARIAL</v>
      </c>
    </row>
    <row r="46" spans="1:3" x14ac:dyDescent="0.25">
      <c r="A46" s="2" t="s">
        <v>100</v>
      </c>
      <c r="B46" s="2" t="s">
        <v>86</v>
      </c>
      <c r="C46" s="2" t="str">
        <f>IFERROR(INDEX(Cursos!$B$2:$B$93,MATCH(B46,Cursos!$A$2:$A$93,0)),"")</f>
        <v>LOGISTICA EMPRESARIAL</v>
      </c>
    </row>
    <row r="47" spans="1:3" x14ac:dyDescent="0.25">
      <c r="A47" s="2" t="s">
        <v>102</v>
      </c>
      <c r="B47" s="2" t="s">
        <v>66</v>
      </c>
      <c r="C47" s="2" t="str">
        <f>IFERROR(INDEX(Cursos!$B$2:$B$93,MATCH(B47,Cursos!$A$2:$A$93,0)),"")</f>
        <v>ELECTRICIDAD Y ELECTRONICA INDUSTRIAL</v>
      </c>
    </row>
    <row r="48" spans="1:3" x14ac:dyDescent="0.25">
      <c r="A48" s="2" t="s">
        <v>102</v>
      </c>
      <c r="B48" s="2" t="s">
        <v>96</v>
      </c>
      <c r="C48" s="2" t="str">
        <f>IFERROR(INDEX(Cursos!$B$2:$B$93,MATCH(B48,Cursos!$A$2:$A$93,0)),"")</f>
        <v>ANALISIS DE PROCESOS DE MANUFACTURA</v>
      </c>
    </row>
    <row r="49" spans="1:3" x14ac:dyDescent="0.25">
      <c r="A49" s="2" t="s">
        <v>104</v>
      </c>
      <c r="B49" s="2" t="s">
        <v>80</v>
      </c>
      <c r="C49" s="2" t="str">
        <f>IFERROR(INDEX(Cursos!$B$2:$B$93,MATCH(B49,Cursos!$A$2:$A$93,0)),"")</f>
        <v>PROCESOS INDUSTRIALES II</v>
      </c>
    </row>
    <row r="50" spans="1:3" x14ac:dyDescent="0.25">
      <c r="A50" s="2" t="s">
        <v>104</v>
      </c>
      <c r="B50" s="2" t="s">
        <v>96</v>
      </c>
      <c r="C50" s="2" t="str">
        <f>IFERROR(INDEX(Cursos!$B$2:$B$93,MATCH(B50,Cursos!$A$2:$A$93,0)),"")</f>
        <v>ANALISIS DE PROCESOS DE MANUFACTURA</v>
      </c>
    </row>
    <row r="51" spans="1:3" x14ac:dyDescent="0.25">
      <c r="A51" s="2" t="s">
        <v>106</v>
      </c>
      <c r="B51" s="2" t="s">
        <v>82</v>
      </c>
      <c r="C51" s="2" t="str">
        <f>IFERROR(INDEX(Cursos!$B$2:$B$93,MATCH(B51,Cursos!$A$2:$A$93,0)),"")</f>
        <v>CONTROL ESTADISTICO DE PROCESOS</v>
      </c>
    </row>
    <row r="52" spans="1:3" x14ac:dyDescent="0.25">
      <c r="A52" s="2" t="s">
        <v>108</v>
      </c>
      <c r="B52" s="2" t="s">
        <v>92</v>
      </c>
      <c r="C52" s="2" t="str">
        <f>IFERROR(INDEX(Cursos!$B$2:$B$93,MATCH(B52,Cursos!$A$2:$A$93,0)),"")</f>
        <v>INGENIERIA DE PROCESOS</v>
      </c>
    </row>
    <row r="53" spans="1:3" x14ac:dyDescent="0.25">
      <c r="A53" s="2" t="s">
        <v>110</v>
      </c>
      <c r="B53" s="2" t="s">
        <v>100</v>
      </c>
      <c r="C53" s="2" t="str">
        <f>IFERROR(INDEX(Cursos!$B$2:$B$93,MATCH(B53,Cursos!$A$2:$A$93,0)),"")</f>
        <v>MERCADOTECNIA</v>
      </c>
    </row>
    <row r="54" spans="1:3" x14ac:dyDescent="0.25">
      <c r="A54" s="2" t="s">
        <v>112</v>
      </c>
      <c r="B54" s="2" t="s">
        <v>98</v>
      </c>
      <c r="C54" s="2" t="str">
        <f>IFERROR(INDEX(Cursos!$B$2:$B$93,MATCH(B54,Cursos!$A$2:$A$93,0)),"")</f>
        <v>GESTION DE LA CADENA DE SUMINISTRO</v>
      </c>
    </row>
    <row r="55" spans="1:3" x14ac:dyDescent="0.25">
      <c r="A55" s="2" t="s">
        <v>112</v>
      </c>
      <c r="B55" s="2" t="s">
        <v>94</v>
      </c>
      <c r="C55" s="2" t="str">
        <f>IFERROR(INDEX(Cursos!$B$2:$B$93,MATCH(B55,Cursos!$A$2:$A$93,0)),"")</f>
        <v>MODELADO SISTEMICO Y SIMULACION</v>
      </c>
    </row>
    <row r="56" spans="1:3" x14ac:dyDescent="0.25">
      <c r="A56" s="2" t="s">
        <v>114</v>
      </c>
      <c r="B56" s="2" t="s">
        <v>88</v>
      </c>
      <c r="C56" s="2" t="str">
        <f>IFERROR(INDEX(Cursos!$B$2:$B$93,MATCH(B56,Cursos!$A$2:$A$93,0)),"")</f>
        <v>INGENIERIA ECONOMICA</v>
      </c>
    </row>
    <row r="57" spans="1:3" x14ac:dyDescent="0.25">
      <c r="A57" s="2" t="s">
        <v>116</v>
      </c>
      <c r="B57" s="2" t="s">
        <v>106</v>
      </c>
      <c r="C57" s="2" t="str">
        <f>IFERROR(INDEX(Cursos!$B$2:$B$93,MATCH(B57,Cursos!$A$2:$A$93,0)),"")</f>
        <v>SISTEMAS INTEGRADOS DE CALIDAD</v>
      </c>
    </row>
    <row r="58" spans="1:3" x14ac:dyDescent="0.25">
      <c r="A58" s="2" t="s">
        <v>120</v>
      </c>
      <c r="B58" s="2" t="s">
        <v>108</v>
      </c>
      <c r="C58" s="2" t="str">
        <f>IFERROR(INDEX(Cursos!$B$2:$B$93,MATCH(B58,Cursos!$A$2:$A$93,0)),"")</f>
        <v>TALLER DE PROYECTO DE INVESTIGACION</v>
      </c>
    </row>
    <row r="59" spans="1:3" x14ac:dyDescent="0.25">
      <c r="A59" s="2" t="s">
        <v>122</v>
      </c>
      <c r="B59" s="2" t="s">
        <v>90</v>
      </c>
      <c r="C59" s="2" t="str">
        <f>IFERROR(INDEX(Cursos!$B$2:$B$93,MATCH(B59,Cursos!$A$2:$A$93,0)),"")</f>
        <v>CONTABILIDAD DE COSTOS Y PRESUPUESTOS</v>
      </c>
    </row>
    <row r="60" spans="1:3" x14ac:dyDescent="0.25">
      <c r="A60" s="2" t="s">
        <v>122</v>
      </c>
      <c r="B60" s="2" t="s">
        <v>100</v>
      </c>
      <c r="C60" s="2" t="str">
        <f>IFERROR(INDEX(Cursos!$B$2:$B$93,MATCH(B60,Cursos!$A$2:$A$93,0)),"")</f>
        <v>MERCADOTECNIA</v>
      </c>
    </row>
    <row r="61" spans="1:3" x14ac:dyDescent="0.25">
      <c r="A61" s="2" t="s">
        <v>124</v>
      </c>
      <c r="B61" s="2" t="s">
        <v>110</v>
      </c>
      <c r="C61" s="2" t="str">
        <f>IFERROR(INDEX(Cursos!$B$2:$B$93,MATCH(B61,Cursos!$A$2:$A$93,0)),"")</f>
        <v>INNOVACION Y EMPRENDIMIENTO DE NEGOCIOS</v>
      </c>
    </row>
    <row r="62" spans="1:3" x14ac:dyDescent="0.25">
      <c r="A62" s="2" t="s">
        <v>124</v>
      </c>
      <c r="B62" s="2" t="s">
        <v>114</v>
      </c>
      <c r="C62" s="2" t="str">
        <f>IFERROR(INDEX(Cursos!$B$2:$B$93,MATCH(B62,Cursos!$A$2:$A$93,0)),"")</f>
        <v>GESTION FINANCIERA</v>
      </c>
    </row>
    <row r="63" spans="1:3" x14ac:dyDescent="0.25">
      <c r="A63" s="2" t="s">
        <v>126</v>
      </c>
      <c r="B63" s="2" t="s">
        <v>110</v>
      </c>
      <c r="C63" s="2" t="str">
        <f>IFERROR(INDEX(Cursos!$B$2:$B$93,MATCH(B63,Cursos!$A$2:$A$93,0)),"")</f>
        <v>INNOVACION Y EMPRENDIMIENTO DE NEGOCIOS</v>
      </c>
    </row>
    <row r="64" spans="1:3" x14ac:dyDescent="0.25">
      <c r="A64" s="2" t="s">
        <v>130</v>
      </c>
      <c r="B64" s="2" t="s">
        <v>88</v>
      </c>
      <c r="C64" s="2" t="str">
        <f>IFERROR(INDEX(Cursos!$B$2:$B$93,MATCH(B64,Cursos!$A$2:$A$93,0)),"")</f>
        <v>INGENIERIA ECONOMICA</v>
      </c>
    </row>
    <row r="65" spans="1:3" x14ac:dyDescent="0.25">
      <c r="A65" s="2" t="s">
        <v>133</v>
      </c>
      <c r="B65" s="2" t="s">
        <v>88</v>
      </c>
      <c r="C65" s="2" t="str">
        <f>IFERROR(INDEX(Cursos!$B$2:$B$93,MATCH(B65,Cursos!$A$2:$A$93,0)),"")</f>
        <v>INGENIERIA ECONOMICA</v>
      </c>
    </row>
    <row r="66" spans="1:3" x14ac:dyDescent="0.25">
      <c r="A66" s="2" t="s">
        <v>135</v>
      </c>
      <c r="B66" s="2" t="s">
        <v>46</v>
      </c>
      <c r="C66" s="2" t="str">
        <f>IFERROR(INDEX(Cursos!$B$2:$B$93,MATCH(B66,Cursos!$A$2:$A$93,0)),"")</f>
        <v>ECONOMIA GENERAL</v>
      </c>
    </row>
    <row r="67" spans="1:3" x14ac:dyDescent="0.25">
      <c r="A67" s="2" t="s">
        <v>137</v>
      </c>
      <c r="B67" s="2" t="s">
        <v>112</v>
      </c>
      <c r="C67" s="2" t="str">
        <f>IFERROR(INDEX(Cursos!$B$2:$B$93,MATCH(B67,Cursos!$A$2:$A$93,0)),"")</f>
        <v>PLANEAMIENTO Y CONTROL DE OPERACIONES</v>
      </c>
    </row>
    <row r="68" spans="1:3" x14ac:dyDescent="0.25">
      <c r="A68" s="2" t="s">
        <v>139</v>
      </c>
      <c r="B68" s="2" t="s">
        <v>94</v>
      </c>
      <c r="C68" s="2" t="str">
        <f>IFERROR(INDEX(Cursos!$B$2:$B$93,MATCH(B68,Cursos!$A$2:$A$93,0)),"")</f>
        <v>MODELADO SISTEMICO Y SIMULACION</v>
      </c>
    </row>
    <row r="69" spans="1:3" x14ac:dyDescent="0.25">
      <c r="A69" s="2" t="s">
        <v>141</v>
      </c>
      <c r="B69" s="2" t="s">
        <v>62</v>
      </c>
      <c r="C69" s="2" t="str">
        <f>IFERROR(INDEX(Cursos!$B$2:$B$93,MATCH(B69,Cursos!$A$2:$A$93,0)),"")</f>
        <v>SOCIOLOGIA</v>
      </c>
    </row>
    <row r="70" spans="1:3" x14ac:dyDescent="0.25">
      <c r="A70" s="2" t="s">
        <v>143</v>
      </c>
      <c r="B70" s="2" t="s">
        <v>76</v>
      </c>
      <c r="C70" s="2" t="str">
        <f>IFERROR(INDEX(Cursos!$B$2:$B$93,MATCH(B70,Cursos!$A$2:$A$93,0)),"")</f>
        <v>ADMINISTRACION Y ORGANIZACION</v>
      </c>
    </row>
    <row r="71" spans="1:3" x14ac:dyDescent="0.25">
      <c r="A71" s="2" t="s">
        <v>145</v>
      </c>
      <c r="B71" s="2" t="s">
        <v>62</v>
      </c>
      <c r="C71" s="2" t="str">
        <f>IFERROR(INDEX(Cursos!$B$2:$B$93,MATCH(B71,Cursos!$A$2:$A$93,0)),"")</f>
        <v>SOCIOLOGIA</v>
      </c>
    </row>
    <row r="72" spans="1:3" x14ac:dyDescent="0.25">
      <c r="A72" s="2" t="s">
        <v>147</v>
      </c>
      <c r="B72" s="2" t="s">
        <v>64</v>
      </c>
      <c r="C72" s="2" t="str">
        <f>IFERROR(INDEX(Cursos!$B$2:$B$93,MATCH(B72,Cursos!$A$2:$A$93,0)),"")</f>
        <v>INVESTIGACION DE OPERACIONES I</v>
      </c>
    </row>
    <row r="73" spans="1:3" x14ac:dyDescent="0.25">
      <c r="A73" s="2" t="s">
        <v>149</v>
      </c>
      <c r="B73" s="2" t="s">
        <v>82</v>
      </c>
      <c r="C73" s="2" t="str">
        <f>IFERROR(INDEX(Cursos!$B$2:$B$93,MATCH(B73,Cursos!$A$2:$A$93,0)),"")</f>
        <v>CONTROL ESTADISTICO DE PROCESOS</v>
      </c>
    </row>
    <row r="74" spans="1:3" x14ac:dyDescent="0.25">
      <c r="A74" s="2" t="s">
        <v>151</v>
      </c>
      <c r="B74" s="2" t="s">
        <v>112</v>
      </c>
      <c r="C74" s="2" t="str">
        <f>IFERROR(INDEX(Cursos!$B$2:$B$93,MATCH(B74,Cursos!$A$2:$A$93,0)),"")</f>
        <v>PLANEAMIENTO Y CONTROL DE OPERACIONES</v>
      </c>
    </row>
    <row r="75" spans="1:3" x14ac:dyDescent="0.25">
      <c r="A75" s="2" t="s">
        <v>153</v>
      </c>
      <c r="B75" s="2" t="s">
        <v>54</v>
      </c>
      <c r="C75" s="2" t="str">
        <f>IFERROR(INDEX(Cursos!$B$2:$B$93,MATCH(B75,Cursos!$A$2:$A$93,0)),"")</f>
        <v>LENGUAJE DE PROGRAMACION</v>
      </c>
    </row>
    <row r="76" spans="1:3" x14ac:dyDescent="0.25">
      <c r="A76" s="2" t="s">
        <v>155</v>
      </c>
      <c r="B76" s="2" t="s">
        <v>100</v>
      </c>
      <c r="C76" s="2" t="str">
        <f>IFERROR(INDEX(Cursos!$B$2:$B$93,MATCH(B76,Cursos!$A$2:$A$93,0)),"")</f>
        <v>MERCADOTECNIA</v>
      </c>
    </row>
    <row r="77" spans="1:3" x14ac:dyDescent="0.25">
      <c r="A77" s="2" t="s">
        <v>157</v>
      </c>
      <c r="B77" s="2" t="s">
        <v>54</v>
      </c>
      <c r="C77" s="2" t="str">
        <f>IFERROR(INDEX(Cursos!$B$2:$B$93,MATCH(B77,Cursos!$A$2:$A$93,0)),"")</f>
        <v>LENGUAJE DE PROGRAMACION</v>
      </c>
    </row>
    <row r="78" spans="1:3" x14ac:dyDescent="0.25">
      <c r="A78" s="2" t="s">
        <v>159</v>
      </c>
      <c r="B78" s="2" t="s">
        <v>110</v>
      </c>
      <c r="C78" s="2" t="str">
        <f>IFERROR(INDEX(Cursos!$B$2:$B$93,MATCH(B78,Cursos!$A$2:$A$93,0)),"")</f>
        <v>INNOVACION Y EMPRENDIMIENTO DE NEGOCIOS</v>
      </c>
    </row>
    <row r="79" spans="1:3" x14ac:dyDescent="0.25">
      <c r="A79" s="2" t="s">
        <v>161</v>
      </c>
      <c r="B79" s="2" t="s">
        <v>74</v>
      </c>
      <c r="C79" s="2" t="str">
        <f>IFERROR(INDEX(Cursos!$B$2:$B$93,MATCH(B79,Cursos!$A$2:$A$93,0)),"")</f>
        <v>INGENIERIA DEL TRABAJO II</v>
      </c>
    </row>
    <row r="80" spans="1:3" x14ac:dyDescent="0.25">
      <c r="A80" s="2" t="s">
        <v>164</v>
      </c>
      <c r="B80" s="2" t="s">
        <v>90</v>
      </c>
      <c r="C80" s="2" t="str">
        <f>IFERROR(INDEX(Cursos!$B$2:$B$93,MATCH(B80,Cursos!$A$2:$A$93,0)),"")</f>
        <v>CONTABILIDAD DE COSTOS Y PRESUPUESTOS</v>
      </c>
    </row>
    <row r="81" spans="1:3" x14ac:dyDescent="0.25">
      <c r="A81" s="2" t="s">
        <v>166</v>
      </c>
      <c r="B81" s="2" t="s">
        <v>110</v>
      </c>
      <c r="C81" s="2" t="str">
        <f>IFERROR(INDEX(Cursos!$B$2:$B$93,MATCH(B81,Cursos!$A$2:$A$93,0)),"")</f>
        <v>INNOVACION Y EMPRENDIMIENTO DE NEGOCIOS</v>
      </c>
    </row>
    <row r="82" spans="1:3" x14ac:dyDescent="0.25">
      <c r="A82" s="2" t="s">
        <v>168</v>
      </c>
      <c r="B82" s="2" t="s">
        <v>88</v>
      </c>
      <c r="C82" s="2" t="str">
        <f>IFERROR(INDEX(Cursos!$B$2:$B$93,MATCH(B82,Cursos!$A$2:$A$93,0)),"")</f>
        <v>INGENIERIA ECONOMICA</v>
      </c>
    </row>
    <row r="83" spans="1:3" x14ac:dyDescent="0.25">
      <c r="A83" s="2" t="s">
        <v>170</v>
      </c>
      <c r="B83" s="2" t="s">
        <v>98</v>
      </c>
      <c r="C83" s="2" t="str">
        <f>IFERROR(INDEX(Cursos!$B$2:$B$93,MATCH(B83,Cursos!$A$2:$A$93,0)),"")</f>
        <v>GESTION DE LA CADENA DE SUMINISTRO</v>
      </c>
    </row>
    <row r="84" spans="1:3" x14ac:dyDescent="0.25">
      <c r="A84" s="2" t="s">
        <v>172</v>
      </c>
      <c r="B84" s="2" t="s">
        <v>90</v>
      </c>
      <c r="C84" s="2" t="str">
        <f>IFERROR(INDEX(Cursos!$B$2:$B$93,MATCH(B84,Cursos!$A$2:$A$93,0)),"")</f>
        <v>CONTABILIDAD DE COSTOS Y PRESUPUESTOS</v>
      </c>
    </row>
    <row r="85" spans="1:3" x14ac:dyDescent="0.25">
      <c r="A85" s="2" t="s">
        <v>174</v>
      </c>
      <c r="B85" s="2" t="s">
        <v>100</v>
      </c>
      <c r="C85" s="2" t="str">
        <f>IFERROR(INDEX(Cursos!$B$2:$B$93,MATCH(B85,Cursos!$A$2:$A$93,0)),"")</f>
        <v>MERCADOTECNIA</v>
      </c>
    </row>
    <row r="86" spans="1:3" x14ac:dyDescent="0.25">
      <c r="A86" s="2" t="s">
        <v>176</v>
      </c>
      <c r="B86" s="2" t="s">
        <v>94</v>
      </c>
      <c r="C86" s="2" t="str">
        <f>IFERROR(INDEX(Cursos!$B$2:$B$93,MATCH(B86,Cursos!$A$2:$A$93,0)),"")</f>
        <v>MODELADO SISTEMICO Y SIMULACION</v>
      </c>
    </row>
    <row r="87" spans="1:3" x14ac:dyDescent="0.25">
      <c r="A87" s="2" t="s">
        <v>178</v>
      </c>
      <c r="B87" s="2" t="s">
        <v>74</v>
      </c>
      <c r="C87" s="2" t="str">
        <f>IFERROR(INDEX(Cursos!$B$2:$B$93,MATCH(B87,Cursos!$A$2:$A$93,0)),"")</f>
        <v>INGENIERIA DEL TRABAJO II</v>
      </c>
    </row>
    <row r="88" spans="1:3" x14ac:dyDescent="0.25">
      <c r="A88" s="2" t="s">
        <v>180</v>
      </c>
      <c r="B88" s="2" t="s">
        <v>44</v>
      </c>
      <c r="C88" s="2" t="str">
        <f>IFERROR(INDEX(Cursos!$B$2:$B$93,MATCH(B88,Cursos!$A$2:$A$93,0)),"")</f>
        <v>TERMODINAMICA</v>
      </c>
    </row>
    <row r="89" spans="1:3" x14ac:dyDescent="0.25">
      <c r="A89" s="2" t="s">
        <v>182</v>
      </c>
      <c r="B89" s="2" t="s">
        <v>106</v>
      </c>
      <c r="C89" s="2" t="str">
        <f>IFERROR(INDEX(Cursos!$B$2:$B$93,MATCH(B89,Cursos!$A$2:$A$93,0)),"")</f>
        <v>SISTEMAS INTEGRADOS DE CALIDAD</v>
      </c>
    </row>
    <row r="90" spans="1:3" x14ac:dyDescent="0.25">
      <c r="A90" s="2" t="s">
        <v>184</v>
      </c>
      <c r="B90" s="2" t="s">
        <v>66</v>
      </c>
      <c r="C90" s="2" t="str">
        <f>IFERROR(INDEX(Cursos!$B$2:$B$93,MATCH(B90,Cursos!$A$2:$A$93,0)),"")</f>
        <v>ELECTRICIDAD Y ELECTRONICA INDUSTRIAL</v>
      </c>
    </row>
    <row r="91" spans="1:3" x14ac:dyDescent="0.25">
      <c r="A91" s="2" t="s">
        <v>186</v>
      </c>
      <c r="B91" s="2" t="s">
        <v>96</v>
      </c>
      <c r="C91" s="2" t="str">
        <f>IFERROR(INDEX(Cursos!$B$2:$B$93,MATCH(B91,Cursos!$A$2:$A$93,0)),"")</f>
        <v>ANALISIS DE PROCESOS DE MANUFACTURA</v>
      </c>
    </row>
    <row r="92" spans="1:3" x14ac:dyDescent="0.25">
      <c r="A92" s="2" t="s">
        <v>188</v>
      </c>
      <c r="B92" s="2" t="s">
        <v>102</v>
      </c>
      <c r="C92" s="2" t="str">
        <f>IFERROR(INDEX(Cursos!$B$2:$B$93,MATCH(B92,Cursos!$A$2:$A$93,0)),"")</f>
        <v>AUTOMATIZACION Y CONTROL DE PROCESOS</v>
      </c>
    </row>
    <row r="93" spans="1:3" x14ac:dyDescent="0.25">
      <c r="A93" s="2" t="s">
        <v>190</v>
      </c>
      <c r="B93" s="2" t="s">
        <v>102</v>
      </c>
      <c r="C93" s="2" t="str">
        <f>IFERROR(INDEX(Cursos!$B$2:$B$93,MATCH(B93,Cursos!$A$2:$A$93,0)),"")</f>
        <v>AUTOMATIZACION Y CONTROL DE PROCESOS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zoomScaleNormal="100" workbookViewId="0">
      <selection activeCell="C10" sqref="C10"/>
    </sheetView>
  </sheetViews>
  <sheetFormatPr baseColWidth="10" defaultColWidth="8.7109375" defaultRowHeight="15" x14ac:dyDescent="0.25"/>
  <cols>
    <col min="1" max="1" width="18" customWidth="1"/>
    <col min="2" max="2" width="16" customWidth="1"/>
    <col min="3" max="3" width="69.140625" bestFit="1" customWidth="1"/>
  </cols>
  <sheetData>
    <row r="1" spans="1:3" ht="30" customHeight="1" x14ac:dyDescent="0.25">
      <c r="A1" s="1" t="s">
        <v>3</v>
      </c>
      <c r="B1" s="1" t="s">
        <v>194</v>
      </c>
      <c r="C1" s="1" t="s">
        <v>197</v>
      </c>
    </row>
    <row r="2" spans="1:3" x14ac:dyDescent="0.25">
      <c r="A2" s="2" t="s">
        <v>7</v>
      </c>
      <c r="B2" s="2">
        <v>187</v>
      </c>
    </row>
    <row r="3" spans="1:3" x14ac:dyDescent="0.25">
      <c r="A3" s="2" t="s">
        <v>132</v>
      </c>
      <c r="B3" s="2">
        <v>6</v>
      </c>
    </row>
    <row r="4" spans="1:3" x14ac:dyDescent="0.25">
      <c r="A4" s="2" t="s">
        <v>163</v>
      </c>
      <c r="B4" s="2">
        <v>12</v>
      </c>
    </row>
    <row r="5" spans="1:3" x14ac:dyDescent="0.25">
      <c r="A5" s="2" t="s">
        <v>195</v>
      </c>
      <c r="B5" s="2">
        <v>5</v>
      </c>
      <c r="C5" t="s">
        <v>198</v>
      </c>
    </row>
    <row r="6" spans="1:3" x14ac:dyDescent="0.25">
      <c r="A6" s="2" t="s">
        <v>196</v>
      </c>
      <c r="B6" s="2">
        <f>SUM(B2:B5)</f>
        <v>210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Cursos</vt:lpstr>
      <vt:lpstr>Prerequisitos</vt:lpstr>
      <vt:lpstr>RequisitosGrado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PRACTICANTE - JHON ANDERSSON DIAZ CAMPOS</cp:lastModifiedBy>
  <cp:revision>0</cp:revision>
  <dcterms:created xsi:type="dcterms:W3CDTF">2026-08-15T16:06:25Z</dcterms:created>
  <dcterms:modified xsi:type="dcterms:W3CDTF">2026-08-15T16:12:44Z</dcterms:modified>
  <dc:language>en-US</dc:language>
</cp:coreProperties>
</file>